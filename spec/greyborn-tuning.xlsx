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ts by level" sheetId="2" state="visible" r:id="rId4"/>
    <sheet name="EXP &amp; Respawn" sheetId="3" state="visible" r:id="rId5"/>
    <sheet name="Abilities" sheetId="4" state="visible" r:id="rId6"/>
    <sheet name="Ultimates" sheetId="5" state="visible" r:id="rId7"/>
    <sheet name="Synergies" sheetId="6" state="visible" r:id="rId8"/>
    <sheet name="Creatures" sheetId="7" state="visible" r:id="rId9"/>
    <sheet name="Economy" sheetId="8" state="visible" r:id="rId10"/>
    <sheet name="Tension &amp; Ev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9" authorId="0">
      <text>
        <r>
          <rPr>
            <sz val="10"/>
            <rFont val="Arial"/>
            <family val="2"/>
          </rPr>
          <t xml:space="preserve">Stillheart anchors are new in this sheet (no stat line in gdd/02 before). L20 Power 150 matches Spec 03.</t>
        </r>
      </text>
    </comment>
  </commentList>
</comments>
</file>

<file path=xl/sharedStrings.xml><?xml version="1.0" encoding="utf-8"?>
<sst xmlns="http://schemas.openxmlformats.org/spreadsheetml/2006/main" count="1511" uniqueCount="903">
  <si>
    <t xml:space="preserve">Greyborn — Tuning Spreadsheet</t>
  </si>
  <si>
    <t xml:space="preserve">Live source for every number in spec/01–05. Starting values for playtesting.</t>
  </si>
  <si>
    <t xml:space="preserve">Legend</t>
  </si>
  <si>
    <t xml:space="preserve">Blue text = input value. Edit these.</t>
  </si>
  <si>
    <t xml:space="preserve">Black text = formula. Don't overwrite; it recalculates.</t>
  </si>
  <si>
    <t xml:space="preserve">Green text = formula pulling from another sheet.</t>
  </si>
  <si>
    <t xml:space="preserve">Yellow fill = key lever (see Spec 05 §12, balance levers).</t>
  </si>
  <si>
    <t xml:space="preserve">Sheets</t>
  </si>
  <si>
    <t xml:space="preserve">Stats by level — L1 / L10 / L20 anchors per lineage (inputs) and every level in between (formulas). Spec 01.</t>
  </si>
  <si>
    <t xml:space="preserve">EXP &amp; Respawn — EXP curve, cumulative EXP, respawn timer, Tenacity. Spec 05 §2, §9.</t>
  </si>
  <si>
    <t xml:space="preserve">Abilities — every Q/E/R and basic attack, with damage at L10 and L20 Power. Spec 02.</t>
  </si>
  <si>
    <t xml:space="preserve">Ultimates — all 42 Ultimate Forms with damage at L20 Power. Spec 03.</t>
  </si>
  <si>
    <t xml:space="preserve">Synergies — the three pair Synergies and the phase matrix. Spec 02 §9.</t>
  </si>
  <si>
    <t xml:space="preserve">Creatures — every creature, with Health by phase and affinity cores. Spec 04.</t>
  </si>
  <si>
    <t xml:space="preserve">Economy — every economy parameter, with calculators for conversion, passive income, Hubs and sieges. Spec 05.</t>
  </si>
  <si>
    <t xml:space="preserve">Tension &amp; Events — Tension rates and the event decks with weight checks. Spec 05 §8.</t>
  </si>
  <si>
    <t xml:space="preserve">Example: to make Titans tankier, raise Stats by level → Titan | Health → L20 (blue). Every level, and every ability damage that depends on it, updates.</t>
  </si>
  <si>
    <t xml:space="preserve">Where the GDD and this file disagree, the GDD's decisions win and both spec and sheet are corrected.</t>
  </si>
  <si>
    <t xml:space="preserve">Stats by level (Spec 01) — S-curve between anchors</t>
  </si>
  <si>
    <t xml:space="preserve">Growth: S(t) = 0.5·t + 0.5·(3t² − 2t³), piecewise L1→L10 and L10→L20, so L10 lands exactly on its anchor. Level numbers are in row 4.</t>
  </si>
  <si>
    <t xml:space="preserve">Key</t>
  </si>
  <si>
    <t xml:space="preserve">Lineage</t>
  </si>
  <si>
    <t xml:space="preserve">Stat</t>
  </si>
  <si>
    <t xml:space="preserve">L1 anchor</t>
  </si>
  <si>
    <t xml:space="preserve">L10 anchor</t>
  </si>
  <si>
    <t xml:space="preserve">L20 anchor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</si>
  <si>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</si>
  <si>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</si>
  <si>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</si>
  <si>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</si>
  <si>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</si>
  <si>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</si>
  <si>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</si>
  <si>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</si>
  <si>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</si>
  <si>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</si>
  <si>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</si>
  <si>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</si>
  <si>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</si>
  <si>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</si>
  <si>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</si>
  <si>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</si>
  <si>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</si>
  <si>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</si>
  <si>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</si>
  <si>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</si>
  <si>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Level →</t>
  </si>
  <si>
    <t xml:space="preserve">Titan|Health</t>
  </si>
  <si>
    <t xml:space="preserve">Titan</t>
  </si>
  <si>
    <t xml:space="preserve">Health</t>
  </si>
  <si>
    <t xml:space="preserve">Titan|Power</t>
  </si>
  <si>
    <t xml:space="preserve">Power</t>
  </si>
  <si>
    <t xml:space="preserve">Titan|Speed %</t>
  </si>
  <si>
    <t xml:space="preserve">Speed %</t>
  </si>
  <si>
    <t xml:space="preserve">Titan|Control</t>
  </si>
  <si>
    <t xml:space="preserve">Control</t>
  </si>
  <si>
    <t xml:space="preserve">Brawler|Health</t>
  </si>
  <si>
    <t xml:space="preserve">Brawler</t>
  </si>
  <si>
    <t xml:space="preserve">Brawler|Power</t>
  </si>
  <si>
    <t xml:space="preserve">Brawler|Speed %</t>
  </si>
  <si>
    <t xml:space="preserve">Brawler|Control</t>
  </si>
  <si>
    <t xml:space="preserve">Verdant|Health</t>
  </si>
  <si>
    <t xml:space="preserve">Verdant</t>
  </si>
  <si>
    <t xml:space="preserve">Verdant|Power</t>
  </si>
  <si>
    <t xml:space="preserve">Verdant|Speed %</t>
  </si>
  <si>
    <t xml:space="preserve">Verdant|Control</t>
  </si>
  <si>
    <t xml:space="preserve">Hollow|Health</t>
  </si>
  <si>
    <t xml:space="preserve">Hollow</t>
  </si>
  <si>
    <t xml:space="preserve">Hollow|Power</t>
  </si>
  <si>
    <t xml:space="preserve">Hollow|Speed %</t>
  </si>
  <si>
    <t xml:space="preserve">Hollow|Control</t>
  </si>
  <si>
    <t xml:space="preserve">Thornrunner|Health</t>
  </si>
  <si>
    <t xml:space="preserve">Thornrunner</t>
  </si>
  <si>
    <t xml:space="preserve">Thornrunner|Power</t>
  </si>
  <si>
    <t xml:space="preserve">Thornrunner|Speed %</t>
  </si>
  <si>
    <t xml:space="preserve">Thornrunner|Control</t>
  </si>
  <si>
    <t xml:space="preserve">Bonespire|Health</t>
  </si>
  <si>
    <t xml:space="preserve">Bonespire</t>
  </si>
  <si>
    <t xml:space="preserve">Bonespire|Power</t>
  </si>
  <si>
    <t xml:space="preserve">Bonespire|Speed %</t>
  </si>
  <si>
    <t xml:space="preserve">Bonespire|Control</t>
  </si>
  <si>
    <t xml:space="preserve">Stillheart|Health</t>
  </si>
  <si>
    <t xml:space="preserve">Stillheart</t>
  </si>
  <si>
    <t xml:space="preserve">Stillheart|Power</t>
  </si>
  <si>
    <t xml:space="preserve">Stillheart|Speed %</t>
  </si>
  <si>
    <t xml:space="preserve">Stillheart|Control</t>
  </si>
  <si>
    <t xml:space="preserve">EXP curve, respawn and Tenacity (Spec 05 §2, §9; Spec 01)</t>
  </si>
  <si>
    <t xml:space="preserve">Inputs</t>
  </si>
  <si>
    <t xml:space="preserve">Level</t>
  </si>
  <si>
    <t xml:space="preserve">EXP to next</t>
  </si>
  <si>
    <t xml:space="preserve">Cumulative EXP to reach</t>
  </si>
  <si>
    <t xml:space="preserve">Respawn (Phases 1–3) s</t>
  </si>
  <si>
    <t xml:space="preserve">Respawn (Phase 4) s</t>
  </si>
  <si>
    <t xml:space="preserve">Tenacity</t>
  </si>
  <si>
    <t xml:space="preserve">Dominance shares</t>
  </si>
  <si>
    <t xml:space="preserve">Bounty on death (cores)</t>
  </si>
  <si>
    <t xml:space="preserve">EXP base</t>
  </si>
  <si>
    <t xml:space="preserve">EXP per level</t>
  </si>
  <si>
    <t xml:space="preserve">Respawn base (s)</t>
  </si>
  <si>
    <t xml:space="preserve">Respawn per level (s)</t>
  </si>
  <si>
    <t xml:space="preserve">Phase 4 respawn extra (s)</t>
  </si>
  <si>
    <t xml:space="preserve">Tenacity per level (L2–L15)</t>
  </si>
  <si>
    <t xml:space="preserve">Tenacity cap</t>
  </si>
  <si>
    <t xml:space="preserve">Bounty base</t>
  </si>
  <si>
    <t xml:space="preserve">Bounty per level</t>
  </si>
  <si>
    <t xml:space="preserve">Check: total EXP to L20 (Spec 05 says 5,320)</t>
  </si>
  <si>
    <t xml:space="preserve">Lineage abilities (Spec 02) — damage computed from Stats by level</t>
  </si>
  <si>
    <t xml:space="preserve">Slot</t>
  </si>
  <si>
    <t xml:space="preserve">Ability</t>
  </si>
  <si>
    <t xml:space="preserve">Range / area</t>
  </si>
  <si>
    <t xml:space="preserve">Timing</t>
  </si>
  <si>
    <t xml:space="preserve">Effect</t>
  </si>
  <si>
    <t xml:space="preserve">Damage (text)</t>
  </si>
  <si>
    <t xml:space="preserve">Base</t>
  </si>
  <si>
    <t xml:space="preserve">Ratio × P</t>
  </si>
  <si>
    <t xml:space="preserve">Cooldown (s)</t>
  </si>
  <si>
    <t xml:space="preserve">Damage @ L10</t>
  </si>
  <si>
    <t xml:space="preserve">Damage @ L20</t>
  </si>
  <si>
    <t xml:space="preserve">Basic</t>
  </si>
  <si>
    <t xml:space="preserve">fist slam</t>
  </si>
  <si>
    <t xml:space="preserve">melee, 3 m (scales)</t>
  </si>
  <si>
    <t xml:space="preserve">0.8 hits/s</t>
  </si>
  <si>
    <t xml:space="preserve">fist slam · melee, 3 m (scales) · 0.8 hits/s · 1.2 × P.</t>
  </si>
  <si>
    <t xml:space="preserve">Q</t>
  </si>
  <si>
    <t xml:space="preserve">Quake Slam</t>
  </si>
  <si>
    <t xml:space="preserve">Circle, radius 5 m (scales), centred on self</t>
  </si>
  <si>
    <t xml:space="preserve">0.5 s wind-up with a visible ring</t>
  </si>
  <si>
    <t xml:space="preserve">Stagger 0.8 s; triggers Smash &amp; Roll</t>
  </si>
  <si>
    <t xml:space="preserve">60 + 0.8 × P</t>
  </si>
  <si>
    <t xml:space="preserve">E</t>
  </si>
  <si>
    <t xml:space="preserve">Bulwark</t>
  </si>
  <si>
    <t xml:space="preserve">Frontal 120° cone</t>
  </si>
  <si>
    <t xml:space="preserve">Instant; lasts 3 s</t>
  </si>
  <si>
    <t xml:space="preserve">−60% damage from the front; Titan slowed 30%</t>
  </si>
  <si>
    <t xml:space="preserve">—</t>
  </si>
  <si>
    <t xml:space="preserve">R</t>
  </si>
  <si>
    <t xml:space="preserve">Rampart Charge</t>
  </si>
  <si>
    <t xml:space="preserve">Line, 12 m (scales)</t>
  </si>
  <si>
    <t xml:space="preserve">0.3 s wind-up; 1.0 s charge</t>
  </si>
  <si>
    <t xml:space="preserve">Unstoppable; carries up to 2 enemies to the end</t>
  </si>
  <si>
    <t xml:space="preserve">80 + 1.0 × P</t>
  </si>
  <si>
    <t xml:space="preserve">fist combo</t>
  </si>
  <si>
    <t xml:space="preserve">melee, 2.5 m (scales)</t>
  </si>
  <si>
    <t xml:space="preserve">1.4 hits/s</t>
  </si>
  <si>
    <t xml:space="preserve">fist combo · melee, 2.5 m (scales) · 1.4 hits/s · 1.0 × P.</t>
  </si>
  <si>
    <t xml:space="preserve">Roll Commit</t>
  </si>
  <si>
    <t xml:space="preserve">Line, 8 m (scales)</t>
  </si>
  <si>
    <t xml:space="preserve">0.6 s roll</t>
  </si>
  <si>
    <t xml:space="preserve">Unstoppable; ends in an uppercut that staggers 0.5 s. Chest weak point exposed for 1.0 s after</t>
  </si>
  <si>
    <t xml:space="preserve">70 + 1.0 × P (uppercut)</t>
  </si>
  <si>
    <t xml:space="preserve">Haymaker</t>
  </si>
  <si>
    <t xml:space="preserve">Melee, 3 m</t>
  </si>
  <si>
    <t xml:space="preserve">Charge 0.3–1.5 s</t>
  </si>
  <si>
    <t xml:space="preserve">Damage scales with charge; full charge knocks back 6 m</t>
  </si>
  <si>
    <t xml:space="preserve">50 + 0.6 × P (min) to 120 + 1.4 × P (full)</t>
  </si>
  <si>
    <t xml:space="preserve">Grapple</t>
  </si>
  <si>
    <t xml:space="preserve">0.6 s hold, then throw</t>
  </si>
  <si>
    <t xml:space="preserve">Grabs a lower-Stage target, throws it 8 m in the aimed direction</t>
  </si>
  <si>
    <t xml:space="preserve">40 + 0.5 × P, +40 on landing</t>
  </si>
  <si>
    <t xml:space="preserve">antler sweep</t>
  </si>
  <si>
    <t xml:space="preserve">1.0 hits/s</t>
  </si>
  <si>
    <t xml:space="preserve">antler sweep · melee, 3 m (scales) · 1.0 hits/s · 0.9 × P.</t>
  </si>
  <si>
    <t xml:space="preserve">Bramble Wall</t>
  </si>
  <si>
    <t xml:space="preserve">Wall, 10 m long (scales), 1.5 m tall, placed up to 15 m away</t>
  </si>
  <si>
    <t xml:space="preserve">0.4 s to grow; lasts 6 s</t>
  </si>
  <si>
    <t xml:space="preserve">Blocks movement and projectiles; can be destroyed</t>
  </si>
  <si>
    <t xml:space="preserve">Wall Health 400 + 2 × P</t>
  </si>
  <si>
    <t xml:space="preserve">Sap Draw</t>
  </si>
  <si>
    <t xml:space="preserve">Ally or self within 15 m</t>
  </si>
  <si>
    <t xml:space="preserve">Heal over 4 s</t>
  </si>
  <si>
    <t xml:space="preserve">Heals the target; costs 40 team SAP</t>
  </si>
  <si>
    <t xml:space="preserve">Heal 120 + 1.0 × P</t>
  </si>
  <si>
    <t xml:space="preserve">Entangle</t>
  </si>
  <si>
    <t xml:space="preserve">Circle, radius 3 m (scales), up to 15 m away</t>
  </si>
  <si>
    <t xml:space="preserve">0.6 s delay</t>
  </si>
  <si>
    <t xml:space="preserve">Root 1.2 s</t>
  </si>
  <si>
    <t xml:space="preserve">30 + 0.4 × P</t>
  </si>
  <si>
    <t xml:space="preserve">void bolt</t>
  </si>
  <si>
    <t xml:space="preserve">ranged, 15 m</t>
  </si>
  <si>
    <t xml:space="preserve">1.0 shots/s</t>
  </si>
  <si>
    <t xml:space="preserve">void bolt · ranged, 15 m · 1.0 shots/s · 0.8 × P · projectile speed 30 m/s.</t>
  </si>
  <si>
    <t xml:space="preserve">Void Rift</t>
  </si>
  <si>
    <t xml:space="preserve">Circle, radius 4 m (scales), up to 18 m away</t>
  </si>
  <si>
    <t xml:space="preserve">0.3 s to open; lasts 4 s</t>
  </si>
  <si>
    <t xml:space="preserve">Enemies inside: slowed 30%, Control −40%; triggers Void Garden on rooted ground</t>
  </si>
  <si>
    <t xml:space="preserve">Hollow Step</t>
  </si>
  <si>
    <t xml:space="preserve">Blink, 8 m (scales)</t>
  </si>
  <si>
    <t xml:space="preserve">0.1 s</t>
  </si>
  <si>
    <t xml:space="preserve">Teleport; passes through units and Bramble Walls, not terrain</t>
  </si>
  <si>
    <t xml:space="preserve">Null Pulse</t>
  </si>
  <si>
    <t xml:space="preserve">Circle, radius 6 m (scales) around self</t>
  </si>
  <si>
    <t xml:space="preserve">0.3 s wind-up</t>
  </si>
  <si>
    <t xml:space="preserve">Silence 1.5 s</t>
  </si>
  <si>
    <t xml:space="preserve">40 + 0.5 × P</t>
  </si>
  <si>
    <t xml:space="preserve">claw rake</t>
  </si>
  <si>
    <t xml:space="preserve">1.6 hits/s</t>
  </si>
  <si>
    <t xml:space="preserve">claw rake · melee, 2.5 m (scales) · 1.6 hits/s · 0.8 × P.</t>
  </si>
  <si>
    <t xml:space="preserve">Thorn Dash</t>
  </si>
  <si>
    <t xml:space="preserve">Line, 9 m (scales), passes through enemies</t>
  </si>
  <si>
    <t xml:space="preserve">0.3 s</t>
  </si>
  <si>
    <t xml:space="preserve">Damages and applies bleed to every enemy passed</t>
  </si>
  <si>
    <t xml:space="preserve">40 + 0.6 × P, then bleed 10 + 0.15 × P per second for 4 s</t>
  </si>
  <si>
    <t xml:space="preserve">Mark Prey</t>
  </si>
  <si>
    <t xml:space="preserve">Target enemy within 25 m, line of sight</t>
  </si>
  <si>
    <t xml:space="preserve">Instant</t>
  </si>
  <si>
    <t xml:space="preserve">Reveals the target for 6 s and exposes its weak point from every angle to the whole team; triggers Co-Stalk</t>
  </si>
  <si>
    <t xml:space="preserve">Barb Volley</t>
  </si>
  <si>
    <t xml:space="preserve">Cone 60°, 8 m</t>
  </si>
  <si>
    <t xml:space="preserve">0.2 s</t>
  </si>
  <si>
    <t xml:space="preserve">Fires 8 barbs; a close target can be hit by up to 5</t>
  </si>
  <si>
    <t xml:space="preserve">12 + 0.15 × P per barb</t>
  </si>
  <si>
    <t xml:space="preserve">bone shard</t>
  </si>
  <si>
    <t xml:space="preserve">ranged, 25 m</t>
  </si>
  <si>
    <t xml:space="preserve">0.9 shots/s</t>
  </si>
  <si>
    <t xml:space="preserve">bone shard · ranged, 25 m · 0.9 shots/s · 1.1 × P · projectile speed 40 m/s.</t>
  </si>
  <si>
    <t xml:space="preserve">Spire Lance</t>
  </si>
  <si>
    <t xml:space="preserve">Skillshot, 40 m (Stage 2: 45 m; Stage 3: 50 m), width 0.6 m</t>
  </si>
  <si>
    <t xml:space="preserve">0.6 s wind-up (a loud crack heard at 60 m); projectile 60 m/s</t>
  </si>
  <si>
    <t xml:space="preserve">Hits the first enemy. ×1.5 on a weak point; ×2.0 on an exposed (Marked) weak point; triggers Co-Stalk</t>
  </si>
  <si>
    <t xml:space="preserve">90 + 1.2 × P</t>
  </si>
  <si>
    <t xml:space="preserve">Ossuary</t>
  </si>
  <si>
    <t xml:space="preserve">Fence, 8 m long (scales), placed up to 15 m away</t>
  </si>
  <si>
    <t xml:space="preserve">0.3 s to rise; lasts 5 s</t>
  </si>
  <si>
    <t xml:space="preserve">Blocks movement (not projectiles); can be destroyed</t>
  </si>
  <si>
    <t xml:space="preserve">Fence Health 300 + 1.5 × P</t>
  </si>
  <si>
    <t xml:space="preserve">Calcify</t>
  </si>
  <si>
    <t xml:space="preserve">Projectile, 20 m</t>
  </si>
  <si>
    <t xml:space="preserve">Slows 25% for 3 s. A second hit within 3 s: slow 50%. A third: stun 1.0 s</t>
  </si>
  <si>
    <t xml:space="preserve">25 + 0.3 × P</t>
  </si>
  <si>
    <t xml:space="preserve">frost swipe</t>
  </si>
  <si>
    <t xml:space="preserve">0.9 hits/s</t>
  </si>
  <si>
    <t xml:space="preserve">frost swipe · melee, 3 m (scales) · 0.9 hits/s · 0.9 × P · slows 10% for 1 s.</t>
  </si>
  <si>
    <t xml:space="preserve">Lull</t>
  </si>
  <si>
    <t xml:space="preserve">Cone 50°, 10 m (scales)</t>
  </si>
  <si>
    <t xml:space="preserve">Slow 40% for 2 s. A second Lull on the same target within 3 s: Drowse 1.0 s (broken by damage)</t>
  </si>
  <si>
    <t xml:space="preserve">20 + 0.3 × P</t>
  </si>
  <si>
    <t xml:space="preserve">Hibernate</t>
  </si>
  <si>
    <t xml:space="preserve">Self or an ally within 12 m</t>
  </si>
  <si>
    <t xml:space="preserve">Instant; 2 s</t>
  </si>
  <si>
    <t xml:space="preserve">Ice stasis: invulnerable and untargetable, can't act. Carried cores are safe</t>
  </si>
  <si>
    <t xml:space="preserve">Long Night</t>
  </si>
  <si>
    <t xml:space="preserve">Circle, radius 7 m (scales), up to 15 m away</t>
  </si>
  <si>
    <t xml:space="preserve">0.5 s to form; lasts 5 s</t>
  </si>
  <si>
    <t xml:space="preserve">Enemy cooldowns tick 30% slower inside</t>
  </si>
  <si>
    <t xml:space="preserve">Basic attack rows show damage per hit. Weak-point hits ×1.5 (Spec 01). Ranks, branch upgrades and passives are in Spec 02.</t>
  </si>
  <si>
    <t xml:space="preserve">Ultimate Forms (Spec 03) — damage at L20 Power</t>
  </si>
  <si>
    <t xml:space="preserve">Branch</t>
  </si>
  <si>
    <t xml:space="preserve">Ultimate</t>
  </si>
  <si>
    <t xml:space="preserve">Area / range</t>
  </si>
  <si>
    <t xml:space="preserve">Flagged</t>
  </si>
  <si>
    <t xml:space="preserve">Aggression</t>
  </si>
  <si>
    <t xml:space="preserve">Colossus Step</t>
  </si>
  <si>
    <t xml:space="preserve">Self; each step a quake of radius 4 m</t>
  </si>
  <si>
    <t xml:space="preserve">6 s; a step every 0.7 s</t>
  </si>
  <si>
    <t xml:space="preserve">Size ×1.25; −20% damage taken; each step staggers 0.3 s (no CC immunity triggered)</t>
  </si>
  <si>
    <t xml:space="preserve">30 + 0.3 × P per step</t>
  </si>
  <si>
    <t xml:space="preserve">Avalanche</t>
  </si>
  <si>
    <t xml:space="preserve">Line, 30 m</t>
  </si>
  <si>
    <t xml:space="preserve">3 s charge, unstoppable</t>
  </si>
  <si>
    <t xml:space="preserve">Rolls through everything; knocks enemies aside</t>
  </si>
  <si>
    <t xml:space="preserve">100 + 1.0 × P to creatures; 600 + 3 × P to structures</t>
  </si>
  <si>
    <t xml:space="preserve">Shatterfist</t>
  </si>
  <si>
    <t xml:space="preserve">Melee, 4 m</t>
  </si>
  <si>
    <t xml:space="preserve">0.6 s wind-up</t>
  </si>
  <si>
    <t xml:space="preserve">If it hits a weak point, the weak point breaks instantly</t>
  </si>
  <si>
    <t xml:space="preserve">150 + 1.5 × P</t>
  </si>
  <si>
    <t xml:space="preserve">Yes</t>
  </si>
  <si>
    <t xml:space="preserve">Tactical</t>
  </si>
  <si>
    <t xml:space="preserve">Fortress</t>
  </si>
  <si>
    <t xml:space="preserve">Self + 120° cone behind, 6 m</t>
  </si>
  <si>
    <t xml:space="preserve">6 s; can't move</t>
  </si>
  <si>
    <t xml:space="preserve">Titan takes −50% damage; allies behind take −40%</t>
  </si>
  <si>
    <t xml:space="preserve">Fault Line</t>
  </si>
  <si>
    <t xml:space="preserve">Line, 25 m</t>
  </si>
  <si>
    <t xml:space="preserve">0.8 s to crack; lasts 8 s</t>
  </si>
  <si>
    <t xml:space="preserve">Nodes on the Titan's side of the line can't be captured or uprooted by enemies; crossing the crack slows 50%</t>
  </si>
  <si>
    <t xml:space="preserve">Mountain's Patience</t>
  </si>
  <si>
    <t xml:space="preserve">Self; becomes a platform of radius 6 m, height 6 m</t>
  </si>
  <si>
    <t xml:space="preserve">3 s channel; lasts 10 s</t>
  </si>
  <si>
    <t xml:space="preserve">Titan is invulnerable and can't act; allies can climb it for high ground; can end early</t>
  </si>
  <si>
    <t xml:space="preserve">Frenzy</t>
  </si>
  <si>
    <t xml:space="preserve">Self</t>
  </si>
  <si>
    <t xml:space="preserve">8 s</t>
  </si>
  <si>
    <t xml:space="preserve">+40% attack speed; 20% lifesteal (subject to the healing cap)</t>
  </si>
  <si>
    <t xml:space="preserve">Wrecking Rush</t>
  </si>
  <si>
    <t xml:space="preserve">Line, 20 m</t>
  </si>
  <si>
    <t xml:space="preserve">1.5 s charge</t>
  </si>
  <si>
    <t xml:space="preserve">Smashes through a structure; knocks enemies back 5 m</t>
  </si>
  <si>
    <t xml:space="preserve">80 + 0.8 × P to creatures; 800 + 3 × P to structures</t>
  </si>
  <si>
    <t xml:space="preserve">Last Stand</t>
  </si>
  <si>
    <t xml:space="preserve">6 s</t>
  </si>
  <si>
    <t xml:space="preserve">Can't drop below 1 Health; at the end, heals 15% max Health if alive</t>
  </si>
  <si>
    <t xml:space="preserve">Pin</t>
  </si>
  <si>
    <t xml:space="preserve">Melee, 3 m; any Stage</t>
  </si>
  <si>
    <t xml:space="preserve">3 s</t>
  </si>
  <si>
    <t xml:space="preserve">Both the Brawler and the target are stunned; allies deal +20% damage to the pinned target</t>
  </si>
  <si>
    <t xml:space="preserve">Brawl Circle</t>
  </si>
  <si>
    <t xml:space="preserve">Ring, radius 10 m around self</t>
  </si>
  <si>
    <t xml:space="preserve">No one can enter or leave (blocks movement and dashes, not projectiles)</t>
  </si>
  <si>
    <t xml:space="preserve">Shove of the Storm</t>
  </si>
  <si>
    <t xml:space="preserve">Cone 90°, 10 m</t>
  </si>
  <si>
    <t xml:space="preserve">0.4 s wind-up</t>
  </si>
  <si>
    <t xml:space="preserve">Knockback 15 m; interrupts channels</t>
  </si>
  <si>
    <t xml:space="preserve">60 + 0.6 × P</t>
  </si>
  <si>
    <t xml:space="preserve">Thornstorm</t>
  </si>
  <si>
    <t xml:space="preserve">Aura, radius 5 m</t>
  </si>
  <si>
    <t xml:space="preserve">Damage every 0.5 s to enemies nearby</t>
  </si>
  <si>
    <t xml:space="preserve">40 + 0.4 × P per second</t>
  </si>
  <si>
    <t xml:space="preserve">Strangling Grove</t>
  </si>
  <si>
    <t xml:space="preserve">Target Hub or Enemy Core within 20 m</t>
  </si>
  <si>
    <t xml:space="preserve">Trees grow through the structure; enemies near it rooted 0.5 s when it starts</t>
  </si>
  <si>
    <t xml:space="preserve">150 + 1.5 × P per second to the structure</t>
  </si>
  <si>
    <t xml:space="preserve">Sap Frenzy</t>
  </si>
  <si>
    <t xml:space="preserve">Allies within 15 m</t>
  </si>
  <si>
    <t xml:space="preserve">10 s</t>
  </si>
  <si>
    <t xml:space="preserve">Spends up to 300 team SAP; allies gain +3% Power per 30 SAP spent (max +30%)</t>
  </si>
  <si>
    <t xml:space="preserve">Overgrowth</t>
  </si>
  <si>
    <t xml:space="preserve">Every Vulnerable or neutral node within 15 m</t>
  </si>
  <si>
    <t xml:space="preserve">Captures them all for the Verdant's team</t>
  </si>
  <si>
    <t xml:space="preserve">Living Wall</t>
  </si>
  <si>
    <t xml:space="preserve">Wall, 40 m long, placed up to 20 m away</t>
  </si>
  <si>
    <t xml:space="preserve">1.0 s to grow; lasts 15 s</t>
  </si>
  <si>
    <t xml:space="preserve">Blocks movement and projectiles; reshapes paths</t>
  </si>
  <si>
    <t xml:space="preserve">Wall Health 1,500 + 5 × P per 10 m segment</t>
  </si>
  <si>
    <t xml:space="preserve">Greenhome</t>
  </si>
  <si>
    <t xml:space="preserve">Circle, radius 12 m</t>
  </si>
  <si>
    <t xml:space="preserve">Allies heal 4% max Health/s (cap applies); enemies slowed 30%</t>
  </si>
  <si>
    <t xml:space="preserve">Collapse</t>
  </si>
  <si>
    <t xml:space="preserve">Circle, radius 6 m, up to 20 m away</t>
  </si>
  <si>
    <t xml:space="preserve">1.0 s delay</t>
  </si>
  <si>
    <t xml:space="preserve">Pulls enemies toward the centre, then implodes</t>
  </si>
  <si>
    <t xml:space="preserve">200 + 2.0 × P at the centre, falling to 50% at the edge</t>
  </si>
  <si>
    <t xml:space="preserve">Hollow Out</t>
  </si>
  <si>
    <t xml:space="preserve">Target enemy Hub within 20 m</t>
  </si>
  <si>
    <t xml:space="preserve">Hub Defense Level −3 (minimum 1) for 45 s</t>
  </si>
  <si>
    <t xml:space="preserve">Unmaking</t>
  </si>
  <si>
    <t xml:space="preserve">Next 3 basic attacks within 6 s</t>
  </si>
  <si>
    <t xml:space="preserve">Each hit removes all shields and buffs from the target and deals +50% damage</t>
  </si>
  <si>
    <t xml:space="preserve">+50% on 3 basics</t>
  </si>
  <si>
    <t xml:space="preserve">Event Horizon</t>
  </si>
  <si>
    <t xml:space="preserve">Circle, radius 10 m, up to 15 m away</t>
  </si>
  <si>
    <t xml:space="preserve">0.8 s delay</t>
  </si>
  <si>
    <t xml:space="preserve">Pulls all enemies to the centre; stagger 0.5 s</t>
  </si>
  <si>
    <t xml:space="preserve">80 + 0.8 × P</t>
  </si>
  <si>
    <t xml:space="preserve">Silence of the Deep</t>
  </si>
  <si>
    <t xml:space="preserve">Circle, radius 15 m around self</t>
  </si>
  <si>
    <t xml:space="preserve">4 s</t>
  </si>
  <si>
    <t xml:space="preserve">No one (allies included) can use abilities or Synergies; basic attacks allowed</t>
  </si>
  <si>
    <t xml:space="preserve">Step Between</t>
  </si>
  <si>
    <t xml:space="preserve">Allies within 10 m (and self)</t>
  </si>
  <si>
    <t xml:space="preserve">2 s channel</t>
  </si>
  <si>
    <t xml:space="preserve">Teleports them all to any node the team holds</t>
  </si>
  <si>
    <t xml:space="preserve">Hunt Frenzy</t>
  </si>
  <si>
    <t xml:space="preserve">Self; whole map</t>
  </si>
  <si>
    <t xml:space="preserve">+30% speed; all enemies carrying 200+ cores revealed; +15% damage to them</t>
  </si>
  <si>
    <t xml:space="preserve">Gut the Hoard</t>
  </si>
  <si>
    <t xml:space="preserve">Target drops 50% of its carried cores on the ground</t>
  </si>
  <si>
    <t xml:space="preserve">120 + 1.0 × P</t>
  </si>
  <si>
    <t xml:space="preserve">Endless Pursuit</t>
  </si>
  <si>
    <t xml:space="preserve">Takedowns reset all Q/E/R cooldowns</t>
  </si>
  <si>
    <t xml:space="preserve">Pack Hunt</t>
  </si>
  <si>
    <t xml:space="preserve">Team</t>
  </si>
  <si>
    <t xml:space="preserve">Resets Mark Prey; while the mark lasts, all allies see its weak point and move +20% toward it</t>
  </si>
  <si>
    <t xml:space="preserve">Thicket Trap</t>
  </si>
  <si>
    <t xml:space="preserve">3 snares on nodes within 30 m</t>
  </si>
  <si>
    <t xml:space="preserve">Hidden for 60 s</t>
  </si>
  <si>
    <t xml:space="preserve">An enemy stepping on a snare is rooted 1.5 s and revealed 5 s</t>
  </si>
  <si>
    <t xml:space="preserve">40 + 0.4 × P</t>
  </si>
  <si>
    <t xml:space="preserve">Scent Trail</t>
  </si>
  <si>
    <t xml:space="preserve">Every cell the team holds</t>
  </si>
  <si>
    <t xml:space="preserve">20 s</t>
  </si>
  <si>
    <t xml:space="preserve">Every enemy standing on the team's territory is revealed</t>
  </si>
  <si>
    <t xml:space="preserve">Marrow Barrage</t>
  </si>
  <si>
    <t xml:space="preserve">5 lances, 50 m</t>
  </si>
  <si>
    <t xml:space="preserve">Over 3 s</t>
  </si>
  <si>
    <t xml:space="preserve">Each can hit a weak point (×1.5, or ×2.0 if exposed)</t>
  </si>
  <si>
    <t xml:space="preserve">70 + 0.9 × P per lance</t>
  </si>
  <si>
    <t xml:space="preserve">Siege Spire</t>
  </si>
  <si>
    <t xml:space="preserve">Lance, 60 m</t>
  </si>
  <si>
    <t xml:space="preserve">3.0 s wind-up</t>
  </si>
  <si>
    <t xml:space="preserve">Huge lance; ×3 damage to structures</t>
  </si>
  <si>
    <t xml:space="preserve">150 + 1.5 × P; (150 + 1.5 × P) × 3 to structures</t>
  </si>
  <si>
    <t xml:space="preserve">Rememberer's Aim</t>
  </si>
  <si>
    <t xml:space="preserve">Every hit counts as a weak-point hit (×1.5)</t>
  </si>
  <si>
    <t xml:space="preserve">×1.5 on all hits</t>
  </si>
  <si>
    <t xml:space="preserve">Bone Cathedral</t>
  </si>
  <si>
    <t xml:space="preserve">Self; turret range 30 m</t>
  </si>
  <si>
    <t xml:space="preserve">10 s; can't move</t>
  </si>
  <si>
    <t xml:space="preserve">Fires at structures (priority) and enemies in range</t>
  </si>
  <si>
    <t xml:space="preserve">100 + 1.0 × P per second to structures; 40 + 0.4 × P per second to creatures</t>
  </si>
  <si>
    <t xml:space="preserve">Ossuary Maze</t>
  </si>
  <si>
    <t xml:space="preserve">6 fences in a 15 m radius</t>
  </si>
  <si>
    <t xml:space="preserve">0.5 s to rise; lasts 10 s</t>
  </si>
  <si>
    <t xml:space="preserve">Reshapes an area into a maze</t>
  </si>
  <si>
    <t xml:space="preserve">Fence Health as Ossuary</t>
  </si>
  <si>
    <t xml:space="preserve">Fossilise</t>
  </si>
  <si>
    <t xml:space="preserve">Target enemy within 20 m</t>
  </si>
  <si>
    <t xml:space="preserve">0.4 s</t>
  </si>
  <si>
    <t xml:space="preserve">Stun 2 s, not reduced by Tenacity; the target's allies can break the stone early (Health 300 + 2 × P)</t>
  </si>
  <si>
    <t xml:space="preserve">Killing Frost</t>
  </si>
  <si>
    <t xml:space="preserve">Cone 70°, 15 m</t>
  </si>
  <si>
    <t xml:space="preserve">0.5 s wind-up</t>
  </si>
  <si>
    <t xml:space="preserve">Freezes enemies (stun 1.5 s); the first hit on a frozen target shatters the ice for bonus damage</t>
  </si>
  <si>
    <t xml:space="preserve">150 + 1.5 × P on shatter</t>
  </si>
  <si>
    <t xml:space="preserve">Rime March</t>
  </si>
  <si>
    <t xml:space="preserve">Self; ice 4 m around</t>
  </si>
  <si>
    <t xml:space="preserve">Enemy nodes whose core cell the ice touches become Vulnerable for 15 s</t>
  </si>
  <si>
    <t xml:space="preserve">Avalanche Heart</t>
  </si>
  <si>
    <t xml:space="preserve">Circle, radius 10 m around self</t>
  </si>
  <si>
    <t xml:space="preserve">1.0 s wind-up</t>
  </si>
  <si>
    <t xml:space="preserve">Explosion of cold; slows 50% for 2 s; Stillheart loses 30% of current Health</t>
  </si>
  <si>
    <t xml:space="preserve">300 + 2.5 × P</t>
  </si>
  <si>
    <t xml:space="preserve">The Deep Sleep</t>
  </si>
  <si>
    <t xml:space="preserve">Circle, radius 15 m, up to 15 m away</t>
  </si>
  <si>
    <t xml:space="preserve">All capture and uproot progress inside is frozen</t>
  </si>
  <si>
    <t xml:space="preserve">Winter's Wall</t>
  </si>
  <si>
    <t xml:space="preserve">Wall, 30 m long</t>
  </si>
  <si>
    <t xml:space="preserve">0.8 s to rise; lasts 8 s</t>
  </si>
  <si>
    <t xml:space="preserve">Blocks all movement and projectiles</t>
  </si>
  <si>
    <t xml:space="preserve">Wall Health 1,200 + 5 × P per 10 m segment</t>
  </si>
  <si>
    <t xml:space="preserve">Long Dream</t>
  </si>
  <si>
    <t xml:space="preserve">2 s</t>
  </si>
  <si>
    <t xml:space="preserve">All enter Hibernate, then heal 20% max Health</t>
  </si>
  <si>
    <t xml:space="preserve">Heal 20% max Health</t>
  </si>
  <si>
    <t xml:space="preserve">Count of Ultimates (should be 42):</t>
  </si>
  <si>
    <t xml:space="preserve">Average cooldown (s):</t>
  </si>
  <si>
    <t xml:space="preserve">Damage @ L20 is the per-hit / per-second / per-step value as the Damage text describes; structure multipliers are in the text.</t>
  </si>
  <si>
    <t xml:space="preserve">Pair Synergies and phase matrix (Spec 02 §9)</t>
  </si>
  <si>
    <t xml:space="preserve">Synergy</t>
  </si>
  <si>
    <t xml:space="preserve">Pair</t>
  </si>
  <si>
    <t xml:space="preserve">Unlock level</t>
  </si>
  <si>
    <t xml:space="preserve">Trigger</t>
  </si>
  <si>
    <t xml:space="preserve">Cooldown S1 (s)</t>
  </si>
  <si>
    <t xml:space="preserve">Cooldown S2 (s)</t>
  </si>
  <si>
    <t xml:space="preserve">Cooldown S3 (s)</t>
  </si>
  <si>
    <t xml:space="preserve">Void Garden</t>
  </si>
  <si>
    <t xml:space="preserve">Verdant + Hollow</t>
  </si>
  <si>
    <t xml:space="preserve">Void Rift on ground the Verdant rooted, or the Verdant roots inside a Void Rift</t>
  </si>
  <si>
    <t xml:space="preserve">Field radius 8 m, 6 s: enemies −50% Control and can't capture; allied nodes inside can't be uprooted; neutral/Vulnerable nodes inside captured 50% faster</t>
  </si>
  <si>
    <t xml:space="preserve">Co-Stalk</t>
  </si>
  <si>
    <t xml:space="preserve">Thornrunner + Bonespire</t>
  </si>
  <si>
    <t xml:space="preserve">Spire Lance within 4 s of Mark Prey on the same target</t>
  </si>
  <si>
    <t xml:space="preserve">The Lance homes to the weak point (within 15° of aim); on hit, weak point breaks instantly; target revealed 4 s more</t>
  </si>
  <si>
    <t xml:space="preserve">Smash &amp; Roll</t>
  </si>
  <si>
    <t xml:space="preserve">Titan + Brawler</t>
  </si>
  <si>
    <t xml:space="preserve">Roll Commit begins within 1.5 s of Quake Slam staggering the target</t>
  </si>
  <si>
    <t xml:space="preserve">Target Airborne 1.0 s; takes +40% damage from both partners; both gain 30 Momentum (Brawler) / 30% Quake Slam cooldown refund (Titan)</t>
  </si>
  <si>
    <t xml:space="preserve">Phase matrix — cooldown (s) by phase; "Locked" = unusable</t>
  </si>
  <si>
    <t xml:space="preserve">Phase</t>
  </si>
  <si>
    <t xml:space="preserve">S1</t>
  </si>
  <si>
    <t xml:space="preserve">S2</t>
  </si>
  <si>
    <t xml:space="preserve">S3</t>
  </si>
  <si>
    <t xml:space="preserve">1 · Stable Flow</t>
  </si>
  <si>
    <t xml:space="preserve">2 · Pre-Aggro</t>
  </si>
  <si>
    <t xml:space="preserve">3 · Resource Stage</t>
  </si>
  <si>
    <t xml:space="preserve">Locked</t>
  </si>
  <si>
    <t xml:space="preserve">4 · Hunt</t>
  </si>
  <si>
    <t xml:space="preserve">Lullaby Resonance (Stillheart within 15 m): Synergy cooldowns −</t>
  </si>
  <si>
    <t xml:space="preserve">Example: Phase 3 S3 cooldown with Lullaby Resonance (s)</t>
  </si>
  <si>
    <t xml:space="preserve">Creatures (Spec 04) — Health by phase and affinity cores</t>
  </si>
  <si>
    <t xml:space="preserve">Phase multipliers →</t>
  </si>
  <si>
    <t xml:space="preserve">P1</t>
  </si>
  <si>
    <t xml:space="preserve">P2</t>
  </si>
  <si>
    <t xml:space="preserve">P3</t>
  </si>
  <si>
    <t xml:space="preserve">P4</t>
  </si>
  <si>
    <t xml:space="preserve">Affinity</t>
  </si>
  <si>
    <t xml:space="preserve">#</t>
  </si>
  <si>
    <t xml:space="preserve">Creature</t>
  </si>
  <si>
    <t xml:space="preserve">Group</t>
  </si>
  <si>
    <t xml:space="preserve">Tier</t>
  </si>
  <si>
    <t xml:space="preserve">Health (Phase 1)</t>
  </si>
  <si>
    <t xml:space="preserve">Hit damage</t>
  </si>
  <si>
    <t xml:space="preserve">Speed (m/s)</t>
  </si>
  <si>
    <t xml:space="preserve">Group size</t>
  </si>
  <si>
    <t xml:space="preserve">Cores (text)</t>
  </si>
  <si>
    <t xml:space="preserve">Cores</t>
  </si>
  <si>
    <t xml:space="preserve">SAP</t>
  </si>
  <si>
    <t xml:space="preserve">Key numbers</t>
  </si>
  <si>
    <t xml:space="preserve">Health P2</t>
  </si>
  <si>
    <t xml:space="preserve">Health P3</t>
  </si>
  <si>
    <t xml:space="preserve">Health P4</t>
  </si>
  <si>
    <t xml:space="preserve">Cores with affinity</t>
  </si>
  <si>
    <t xml:space="preserve">Mossback Grazer</t>
  </si>
  <si>
    <t xml:space="preserve">Four-legged</t>
  </si>
  <si>
    <t xml:space="preserve">II</t>
  </si>
  <si>
    <t xml:space="preserve">— (passive)</t>
  </si>
  <si>
    <t xml:space="preserve">Herd of 4</t>
  </si>
  <si>
    <t xml:space="preserve">45 each</t>
  </si>
  <si>
    <t xml:space="preserve">Grazing on an enemy cell adds 5% uproot progress/s (about 20 s a cell). Herding: a player within 6 m behind the herd pushes it forward at 3.5 m/s</t>
  </si>
  <si>
    <t xml:space="preserve">Ashfang</t>
  </si>
  <si>
    <t xml:space="preserve">50 / 1.0 s</t>
  </si>
  <si>
    <t xml:space="preserve">Pack of 3</t>
  </si>
  <si>
    <t xml:space="preserve">50 each</t>
  </si>
  <si>
    <t xml:space="preserve">Hunts any player below 30% Health within 40 m; +30% damage to them</t>
  </si>
  <si>
    <t xml:space="preserve">Stonehide Ox</t>
  </si>
  <si>
    <t xml:space="preserve">III</t>
  </si>
  <si>
    <t xml:space="preserve">140</t>
  </si>
  <si>
    <t xml:space="preserve">Solo</t>
  </si>
  <si>
    <t xml:space="preserve">160 + 20 SAP</t>
  </si>
  <si>
    <t xml:space="preserve">Charge: 25 m line at 10 m/s, 200 damage, knockdown (stun 1.0 s) to everything hit, creatures included; cooldown 10 s</t>
  </si>
  <si>
    <t xml:space="preserve">Glimmerfox</t>
  </si>
  <si>
    <t xml:space="preserve">I</t>
  </si>
  <si>
    <t xml:space="preserve">20</t>
  </si>
  <si>
    <t xml:space="preserve">Invisible after 2 s still. Killing it reveals enemies within 15 m for 6 s (Thornrunner: 25 m)</t>
  </si>
  <si>
    <t xml:space="preserve">Marrowhound</t>
  </si>
  <si>
    <t xml:space="preserve">45</t>
  </si>
  <si>
    <t xml:space="preserve">Eats dropped cores within 20 m (40 cores/s), holds up to 300, drops all on death</t>
  </si>
  <si>
    <t xml:space="preserve">Duskmane</t>
  </si>
  <si>
    <t xml:space="preserve">130</t>
  </si>
  <si>
    <t xml:space="preserve">150 + 20 SAP</t>
  </si>
  <si>
    <t xml:space="preserve">Stealthed in fog; pounce from 12 m: 180 damage + stun 0.8 s, cooldown 10 s; targets lone players (no ally within 15 m). Drops a Void Pelt: +10% Control for 60 s (Hollow: +15%)</t>
  </si>
  <si>
    <t xml:space="preserve">Burrowtusk</t>
  </si>
  <si>
    <t xml:space="preserve">55</t>
  </si>
  <si>
    <t xml:space="preserve">50</t>
  </si>
  <si>
    <t xml:space="preserve">Digs a tunnel between two nodes up to 80 m apart; lasts 60 s; one every 120 s; 1.5 s to travel through</t>
  </si>
  <si>
    <t xml:space="preserve">Greyback Colossus</t>
  </si>
  <si>
    <t xml:space="preserve">IV</t>
  </si>
  <si>
    <t xml:space="preserve">Stomp 300, radius 6 m, every 6 s</t>
  </si>
  <si>
    <t xml:space="preserve">400 + 100 SAP</t>
  </si>
  <si>
    <t xml:space="preserve">Its back is a 3-cell moving node (4 s root channel, Inaccessible while it's in enemy-only territory). Back reached by its tail ramp</t>
  </si>
  <si>
    <t xml:space="preserve">Mossback Calves</t>
  </si>
  <si>
    <t xml:space="preserve">1–2 per herd (Bloom only)</t>
  </si>
  <si>
    <t xml:space="preserve">15</t>
  </si>
  <si>
    <t xml:space="preserve">Harming one makes its herd territorial for 60 s: Grazers attack for 45 / 1.2 s</t>
  </si>
  <si>
    <t xml:space="preserve">Cinder Salamander</t>
  </si>
  <si>
    <t xml:space="preserve">4–6 per map</t>
  </si>
  <si>
    <t xml:space="preserve">Dives at 10 m. On death leaves a cooling-rock stepping stone (3 m) for 45 s (Titan: 90 s)</t>
  </si>
  <si>
    <t xml:space="preserve">Heartwood Elk</t>
  </si>
  <si>
    <t xml:space="preserve">Invulnerable</t>
  </si>
  <si>
    <t xml:space="preserve">0–1 per match</t>
  </si>
  <si>
    <t xml:space="preserve">0</t>
  </si>
  <si>
    <t xml:space="preserve">In a Heartwood grove, roots spread ×3 for 30 s for whoever holds the grove. Ignores combat; can't be infected</t>
  </si>
  <si>
    <t xml:space="preserve">Strays (wild Kith)</t>
  </si>
  <si>
    <t xml:space="preserve">Two-legged</t>
  </si>
  <si>
    <t xml:space="preserve">Group of 3</t>
  </si>
  <si>
    <t xml:space="preserve">15 each</t>
  </si>
  <si>
    <t xml:space="preserve">Evolve after 300 s unharmed within 30 m of held territory (Hushed Strays: 180 s). See Wild evolution below</t>
  </si>
  <si>
    <t xml:space="preserve">Strider Crane</t>
  </si>
  <si>
    <t xml:space="preserve">Flock of 6–8</t>
  </si>
  <si>
    <t xml:space="preserve">10 each</t>
  </si>
  <si>
    <t xml:space="preserve">Startled at 10 m (Hollow, Thornrunner: 5 m). Startling reveals the startler for 4 s to everyone</t>
  </si>
  <si>
    <t xml:space="preserve">Rootwalker</t>
  </si>
  <si>
    <t xml:space="preserve">60 / 1.6 s</t>
  </si>
  <si>
    <t xml:space="preserve">Solo, on a neutral node</t>
  </si>
  <si>
    <t xml:space="preserve">60</t>
  </si>
  <si>
    <t xml:space="preserve">The node can't be rooted while it lives. Calm (Verdant only): 3 s channel, removes it for 120 s without a fight; gives 60 cores</t>
  </si>
  <si>
    <t xml:space="preserve">Knucklebrute</t>
  </si>
  <si>
    <t xml:space="preserve">160</t>
  </si>
  <si>
    <t xml:space="preserve">170 + 20 SAP</t>
  </si>
  <si>
    <t xml:space="preserve">Challenges the first player within 20 m. Winning alone (no ally damage) gives Momentum: +10% damage and +10% speed for 30 s</t>
  </si>
  <si>
    <t xml:space="preserve">Hollowmonk</t>
  </si>
  <si>
    <t xml:space="preserve">Aura 12 m: all capture and uproot progress paused</t>
  </si>
  <si>
    <t xml:space="preserve">Spurlark</t>
  </si>
  <si>
    <t xml:space="preserve">40 (double)</t>
  </si>
  <si>
    <t xml:space="preserve">Hard to catch; flees on a curving path</t>
  </si>
  <si>
    <t xml:space="preserve">Bonewright</t>
  </si>
  <si>
    <t xml:space="preserve">120</t>
  </si>
  <si>
    <t xml:space="preserve">Solo + 3 totems</t>
  </si>
  <si>
    <t xml:space="preserve">Totems: 400 Health each, within 15 m; each gives wildlife nearby +10% damage and −10% damage taken (stacks to 3). Bonewright takes −60% damage while any totem stands. Rebuilds one totem every 20 s</t>
  </si>
  <si>
    <t xml:space="preserve">The Old Tall</t>
  </si>
  <si>
    <t xml:space="preserve">Kick 350, cone 6 m</t>
  </si>
  <si>
    <t xml:space="preserve">Walks Hub to Hub. Tension ×3 within 30 m. Planet Pulse version hunts Blightborn for 45 s, then leaves (no kill required)</t>
  </si>
  <si>
    <t xml:space="preserve">Seedcaller</t>
  </si>
  <si>
    <t xml:space="preserve">Regrows 1 neutral cell per 10 s along its path, even from Scald</t>
  </si>
  <si>
    <t xml:space="preserve">Drift Owlbear</t>
  </si>
  <si>
    <t xml:space="preserve">170</t>
  </si>
  <si>
    <t xml:space="preserve">2–3 drifts per map</t>
  </si>
  <si>
    <t xml:space="preserve">Wakes when a player steps within 3 m of its drift; rampages 20 s on the nearest creature, then sleeps if unharmed</t>
  </si>
  <si>
    <t xml:space="preserve">Ash Vulture</t>
  </si>
  <si>
    <t xml:space="preserve">3–8</t>
  </si>
  <si>
    <t xml:space="preserve">Circles any spot with combat in the last 10 s; lands only on bodies</t>
  </si>
  <si>
    <t xml:space="preserve">Shard Gull</t>
  </si>
  <si>
    <t xml:space="preserve">10 (mobs nest intruders)</t>
  </si>
  <si>
    <t xml:space="preserve">Flock of 6–10</t>
  </si>
  <si>
    <t xml:space="preserve">15 + a Starshard (30 cores, Thornrunner: 40)</t>
  </si>
  <si>
    <t xml:space="preserve">Mobs anything within 8 m of its nest</t>
  </si>
  <si>
    <t xml:space="preserve">Sixhorn Ram</t>
  </si>
  <si>
    <t xml:space="preserve">Six-legged</t>
  </si>
  <si>
    <t xml:space="preserve">50 + knockback 6 m</t>
  </si>
  <si>
    <t xml:space="preserve">Solo or pair</t>
  </si>
  <si>
    <t xml:space="preserve">Knockback can push players off ledges</t>
  </si>
  <si>
    <t xml:space="preserve">Trundleback</t>
  </si>
  <si>
    <t xml:space="preserve">180 + 20 SAP</t>
  </si>
  <si>
    <t xml:space="preserve">Immune except its underside weak point: hittable from a 60° cone at ground level behind it, or from anywhere while flipped (any knockback or stagger from a Titan or Brawler flips it for 4 s). Shell is a 3 m platform</t>
  </si>
  <si>
    <t xml:space="preserve">Lantern Lizard</t>
  </si>
  <si>
    <t xml:space="preserve">10</t>
  </si>
  <si>
    <t xml:space="preserve">Any player within 8 m appears on the enemy minimap</t>
  </si>
  <si>
    <t xml:space="preserve">Gravel Skink</t>
  </si>
  <si>
    <t xml:space="preserve">2–4</t>
  </si>
  <si>
    <t xml:space="preserve">Burrows for 5 s when a player comes within 6 m</t>
  </si>
  <si>
    <t xml:space="preserve">Hexmaw</t>
  </si>
  <si>
    <t xml:space="preserve">60/s while holding</t>
  </si>
  <si>
    <t xml:space="preserve">Drag: grabs a player within 10 m, pulls 2 m/s toward its mouth; grip broken by 400 damage to the tentacle (ally) or any stagger on the Hexmaw; cooldown 12 s</t>
  </si>
  <si>
    <t xml:space="preserve">Sapdrinker</t>
  </si>
  <si>
    <t xml:space="preserve">Solo, on a node</t>
  </si>
  <si>
    <t xml:space="preserve">Drains 1 SAP/s from the team holding its node (Verdant kill: +30 SAP)</t>
  </si>
  <si>
    <t xml:space="preserve">Rimeback Stag</t>
  </si>
  <si>
    <t xml:space="preserve">Herd of 5</t>
  </si>
  <si>
    <t xml:space="preserve">Killing one starts a stampede 25 m: 80 damage + 4 m knockback to anyone in the path</t>
  </si>
  <si>
    <t xml:space="preserve">Sixfold Wyrm</t>
  </si>
  <si>
    <t xml:space="preserve">Bite 400 · tail sweep 250, radius 8 m</t>
  </si>
  <si>
    <t xml:space="preserve">Bursts out at 100 Tension in that region. Burrows and resurfaces every 20 s near the loudest player (lure it). Murmur Surge version hunts Wildborn for 45 s</t>
  </si>
  <si>
    <t xml:space="preserve">Cairnshell</t>
  </si>
  <si>
    <t xml:space="preserve">2–3</t>
  </si>
  <si>
    <t xml:space="preserve">Drops its boulder when startled or killed: cover 3 m wide, 1,000 Health. A Titan can throw it 20 m: 150 + 0.5 × P, stun 0.5 s</t>
  </si>
  <si>
    <t xml:space="preserve">Emberbark</t>
  </si>
  <si>
    <t xml:space="preserve">Immune to burning; ×2 damage to Clamor creatures; attacks them first</t>
  </si>
  <si>
    <t xml:space="preserve">Tidal Strider</t>
  </si>
  <si>
    <t xml:space="preserve">2–3 at high tide</t>
  </si>
  <si>
    <t xml:space="preserve">Players beneath it (radius 4 m) are hidden from the enemy minimap and from sight beyond 10 m</t>
  </si>
  <si>
    <t xml:space="preserve">Weavemother</t>
  </si>
  <si>
    <t xml:space="preserve">Eight-legged</t>
  </si>
  <si>
    <t xml:space="preserve">Webs a node every 60 s: Inaccessible until cut (8 s channel) or burned (any burn removes it in 2 s)</t>
  </si>
  <si>
    <t xml:space="preserve">Threadlings</t>
  </si>
  <si>
    <t xml:space="preserve">5</t>
  </si>
  <si>
    <t xml:space="preserve">Swarm of 12</t>
  </si>
  <si>
    <t xml:space="preserve">24 per swarm</t>
  </si>
  <si>
    <t xml:space="preserve">Each Threadling within 3 m slows 4% (max 40%)</t>
  </si>
  <si>
    <t xml:space="preserve">Stiltwalker</t>
  </si>
  <si>
    <t xml:space="preserve">Mire Scuttler</t>
  </si>
  <si>
    <t xml:space="preserve">1–2</t>
  </si>
  <si>
    <t xml:space="preserve">−90% damage from the front 180° (exceeds the cap by design)</t>
  </si>
  <si>
    <t xml:space="preserve">Glasslegs</t>
  </si>
  <si>
    <t xml:space="preserve">70 first strike + root 0.5 s, then 50</t>
  </si>
  <si>
    <t xml:space="preserve">Invisible after 1.5 s still; revealed only on its strike</t>
  </si>
  <si>
    <t xml:space="preserve">Tendril Crawler</t>
  </si>
  <si>
    <t xml:space="preserve">50/s while holding</t>
  </si>
  <si>
    <t xml:space="preserve">Grabs two players within 8 m: stun 1.5 s; cooldown 14 s</t>
  </si>
  <si>
    <t xml:space="preserve">Bone Harvestman</t>
  </si>
  <si>
    <t xml:space="preserve">40</t>
  </si>
  <si>
    <t xml:space="preserve">Its nest fills with 1 core every 3 s, up to 80 (4 min). Nest: 300 Health; anyone breaking it gets the stored cores</t>
  </si>
  <si>
    <t xml:space="preserve">Eightfold Matron</t>
  </si>
  <si>
    <t xml:space="preserve">Bite 350 · web spit: root 1.5 s</t>
  </si>
  <si>
    <t xml:space="preserve">Spawns a Threadling swarm every 20 s (max 4 alive) until she dies</t>
  </si>
  <si>
    <t xml:space="preserve">Hoarfrost Mites</t>
  </si>
  <si>
    <t xml:space="preserve">Swarm of 10</t>
  </si>
  <si>
    <t xml:space="preserve">15 per swarm</t>
  </si>
  <si>
    <t xml:space="preserve">Leave slick patches (radius 6 m, 20 s): −30% turn rate, momentum slide. Stillheart is unaffected and gains +10% speed on them</t>
  </si>
  <si>
    <t xml:space="preserve">Ember Moth</t>
  </si>
  <si>
    <t xml:space="preserve">Insect</t>
  </si>
  <si>
    <t xml:space="preserve">Swarm of 8</t>
  </si>
  <si>
    <t xml:space="preserve">16 per swarm</t>
  </si>
  <si>
    <t xml:space="preserve">Drawn within 30 m of any Stage transformation</t>
  </si>
  <si>
    <t xml:space="preserve">Siege Beetle</t>
  </si>
  <si>
    <t xml:space="preserve">40% damage reduction. Chases its last attacker; 200 damage per hit to structures it touches</t>
  </si>
  <si>
    <t xml:space="preserve">Rootworm</t>
  </si>
  <si>
    <t xml:space="preserve">1–3 per freshly rooted node</t>
  </si>
  <si>
    <t xml:space="preserve">A Verdant eating one: next root −30% channel</t>
  </si>
  <si>
    <t xml:space="preserve">Thornwasp</t>
  </si>
  <si>
    <t xml:space="preserve">Nest 800; wasps 30 each</t>
  </si>
  <si>
    <t xml:space="preserve">15/s per wasp</t>
  </si>
  <si>
    <t xml:space="preserve">Nest + 6 wasps</t>
  </si>
  <si>
    <t xml:space="preserve">50 (nest)</t>
  </si>
  <si>
    <t xml:space="preserve">Swarm chases anyone within 10 m of the nest for 12 s or 40 m</t>
  </si>
  <si>
    <t xml:space="preserve">Hush Cicada</t>
  </si>
  <si>
    <t xml:space="preserve">3–5</t>
  </si>
  <si>
    <t xml:space="preserve">While alive, sound signatures within 15 m are muted</t>
  </si>
  <si>
    <t xml:space="preserve">Marrow Mantis</t>
  </si>
  <si>
    <t xml:space="preserve">150, always a weak-point hit (225)</t>
  </si>
  <si>
    <t xml:space="preserve">Solo, ambush</t>
  </si>
  <si>
    <t xml:space="preserve">Strikes from stealth at 6 m; cooldown 8 s</t>
  </si>
  <si>
    <t xml:space="preserve">Sapback Aphids</t>
  </si>
  <si>
    <t xml:space="preserve">Herd of 6</t>
  </si>
  <si>
    <t xml:space="preserve">While 3+ live on your node: +2 SAP/s to your team</t>
  </si>
  <si>
    <t xml:space="preserve">Hive Colossus</t>
  </si>
  <si>
    <t xml:space="preserve">Slam 300; releases a 6-wasp swarm every 15 s</t>
  </si>
  <si>
    <t xml:space="preserve">400 + 100 SAP (+100 cores per plate broken)</t>
  </si>
  <si>
    <t xml:space="preserve">Body takes −70% damage until all four plates are broken</t>
  </si>
  <si>
    <t xml:space="preserve">Clashhorn Beetles</t>
  </si>
  <si>
    <t xml:space="preserve">Ignore everything while dueling. Interrupting makes both attack. Beating both within 10 s: Momentum 30 s (as Knucklebrute)</t>
  </si>
  <si>
    <t xml:space="preserve">Lumen Bees</t>
  </si>
  <si>
    <t xml:space="preserve">Swarm of 6</t>
  </si>
  <si>
    <t xml:space="preserve">18 per swarm</t>
  </si>
  <si>
    <t xml:space="preserve">A node they visit gives +25% SAP for 60 s</t>
  </si>
  <si>
    <t xml:space="preserve">Amber Beetles</t>
  </si>
  <si>
    <t xml:space="preserve">5–10</t>
  </si>
  <si>
    <t xml:space="preserve">0 cores, 15 SAP each</t>
  </si>
  <si>
    <t xml:space="preserve">Verdant: 20 SAP</t>
  </si>
  <si>
    <t xml:space="preserve">Shriekers</t>
  </si>
  <si>
    <t xml:space="preserve">Clamor</t>
  </si>
  <si>
    <t xml:space="preserve">30 per swarm</t>
  </si>
  <si>
    <t xml:space="preserve">While any live: all players within 20 m are revealed</t>
  </si>
  <si>
    <t xml:space="preserve">Spore Kites</t>
  </si>
  <si>
    <t xml:space="preserve">Land after 8 s aloft: a Scald patch, radius 6 m (node goes neutral, uncapturable for 60 s)</t>
  </si>
  <si>
    <t xml:space="preserve">Ashmouths</t>
  </si>
  <si>
    <t xml:space="preserve">1–3</t>
  </si>
  <si>
    <t xml:space="preserve">Eats a body in 3 s: +10% Health and damage per body (max 5)</t>
  </si>
  <si>
    <t xml:space="preserve">Kindlers</t>
  </si>
  <si>
    <t xml:space="preserve">Sets wildlife within 6 m burning: the creature panics and stampedes for 6 s (20 damage/s burn)</t>
  </si>
  <si>
    <t xml:space="preserve">Scald Hulks</t>
  </si>
  <si>
    <t xml:space="preserve">40% damage reduction; burning trail 20 damage/s for 5 s</t>
  </si>
  <si>
    <t xml:space="preserve">Ventborn</t>
  </si>
  <si>
    <t xml:space="preserve">150</t>
  </si>
  <si>
    <t xml:space="preserve">2 per vent</t>
  </si>
  <si>
    <t xml:space="preserve">Leash 15 m to its Roar-vent; respawn only while the vent stands</t>
  </si>
  <si>
    <t xml:space="preserve">The Roar</t>
  </si>
  <si>
    <t xml:space="preserve">IV boss</t>
  </si>
  <si>
    <t xml:space="preserve">Body: dies when all vents break</t>
  </si>
  <si>
    <t xml:space="preserve">Stomp 400, radius 8 m, every 5 s · Chorus cone 90°, 25 m: 250 + silence 1.5 s, every 12 s</t>
  </si>
  <si>
    <t xml:space="preserve">800 split + 200 SAP per team</t>
  </si>
  <si>
    <t xml:space="preserve">6 Roar-vents, 6,000 Health each (weak points). Body takes −90% damage. Each broken vent: −10% speed and the chorus cone narrows 15°. Within 30 m: all sound signatures maxed, calls disabled. Eats roots and Blight: cells it crosses become burned-out neutral for 120 s</t>
  </si>
  <si>
    <t xml:space="preserve">Native creatures listed (should be 54):</t>
  </si>
  <si>
    <t xml:space="preserve">Health P1 values assume Phase 1 multiplier = 1.00 (D2).</t>
  </si>
  <si>
    <t xml:space="preserve">Economy parameters and calculators (Spec 05)</t>
  </si>
  <si>
    <t xml:space="preserve">Parameter</t>
  </si>
  <si>
    <t xml:space="preserve">Value</t>
  </si>
  <si>
    <t xml:space="preserve">Unit</t>
  </si>
  <si>
    <t xml:space="preserve">Spec 05 section</t>
  </si>
  <si>
    <t xml:space="preserve">Conversion calculator</t>
  </si>
  <si>
    <t xml:space="preserve">Carry cap</t>
  </si>
  <si>
    <t xml:space="preserve">cores</t>
  </si>
  <si>
    <t xml:space="preserve">§3</t>
  </si>
  <si>
    <t xml:space="preserve">Carried cores</t>
  </si>
  <si>
    <t xml:space="preserve">Dropped cores last</t>
  </si>
  <si>
    <t xml:space="preserve">s</t>
  </si>
  <si>
    <t xml:space="preserve">Partner converts too? (1 = yes)</t>
  </si>
  <si>
    <t xml:space="preserve">Wildlife full-value cap</t>
  </si>
  <si>
    <t xml:space="preserve">Aggression bonus</t>
  </si>
  <si>
    <t xml:space="preserve">Wildlife value after cap</t>
  </si>
  <si>
    <t xml:space="preserve">×</t>
  </si>
  <si>
    <t xml:space="preserve">EXP at base</t>
  </si>
  <si>
    <t xml:space="preserve">Assist bounty share</t>
  </si>
  <si>
    <t xml:space="preserve">× bounty</t>
  </si>
  <si>
    <t xml:space="preserve">EXP field-converted</t>
  </si>
  <si>
    <t xml:space="preserve">Passive income factor</t>
  </si>
  <si>
    <t xml:space="preserve">cores/s × TI</t>
  </si>
  <si>
    <t xml:space="preserve">Example from Spec 05: 320 with partner → 448 at base, 224 in the field.</t>
  </si>
  <si>
    <t xml:space="preserve">Passive loss per Enemy Core lost</t>
  </si>
  <si>
    <t xml:space="preserve">C1 conversion (0–1 Hubs)</t>
  </si>
  <si>
    <t xml:space="preserve">§4</t>
  </si>
  <si>
    <t xml:space="preserve">Passive income by Territorial Influence (per player)</t>
  </si>
  <si>
    <t xml:space="preserve">C2 conversion (2 Hubs)</t>
  </si>
  <si>
    <t xml:space="preserve">TI</t>
  </si>
  <si>
    <t xml:space="preserve">Cores/s</t>
  </si>
  <si>
    <t xml:space="preserve">Over 18 min</t>
  </si>
  <si>
    <t xml:space="preserve">…with 1 Core lost</t>
  </si>
  <si>
    <t xml:space="preserve">C3 conversion (3+ Hubs)</t>
  </si>
  <si>
    <t xml:space="preserve">Conversion floor after Core losses</t>
  </si>
  <si>
    <t xml:space="preserve">Aggression bonus per full 100 carried</t>
  </si>
  <si>
    <t xml:space="preserve">Aggression bonus cap</t>
  </si>
  <si>
    <t xml:space="preserve">Evolution-Sync Resonance</t>
  </si>
  <si>
    <t xml:space="preserve">Field conversion efficiency</t>
  </si>
  <si>
    <t xml:space="preserve">L20 cores per SAP</t>
  </si>
  <si>
    <t xml:space="preserve">Capturable cells (standard map)</t>
  </si>
  <si>
    <t xml:space="preserve">cells</t>
  </si>
  <si>
    <t xml:space="preserve">§5</t>
  </si>
  <si>
    <t xml:space="preserve">Hub Defense levels</t>
  </si>
  <si>
    <t xml:space="preserve">TI per Hub held</t>
  </si>
  <si>
    <t xml:space="preserve">points</t>
  </si>
  <si>
    <t xml:space="preserve">Cost of this level (SAP)</t>
  </si>
  <si>
    <t xml:space="preserve">Total SAP to reach</t>
  </si>
  <si>
    <t xml:space="preserve">Hub Health</t>
  </si>
  <si>
    <t xml:space="preserve">Ally damage reduction</t>
  </si>
  <si>
    <t xml:space="preserve">Mercy TI</t>
  </si>
  <si>
    <t xml:space="preserve">Mercy hold</t>
  </si>
  <si>
    <t xml:space="preserve">Territorial Growth interval</t>
  </si>
  <si>
    <t xml:space="preserve">s per cell</t>
  </si>
  <si>
    <t xml:space="preserve">Root channel</t>
  </si>
  <si>
    <t xml:space="preserve">Root channel (Verdant)</t>
  </si>
  <si>
    <t xml:space="preserve">SAP per cell</t>
  </si>
  <si>
    <t xml:space="preserve">SAP/s</t>
  </si>
  <si>
    <t xml:space="preserve">§6</t>
  </si>
  <si>
    <t xml:space="preserve">SAP bonus per Hub</t>
  </si>
  <si>
    <t xml:space="preserve">Hub Defense cost per level</t>
  </si>
  <si>
    <t xml:space="preserve">SAP × level</t>
  </si>
  <si>
    <t xml:space="preserve">Structure damage modifier</t>
  </si>
  <si>
    <t xml:space="preserve">§7</t>
  </si>
  <si>
    <t xml:space="preserve">Hub base Health</t>
  </si>
  <si>
    <t xml:space="preserve">Hub Health per level</t>
  </si>
  <si>
    <t xml:space="preserve">Hub ally DR per level</t>
  </si>
  <si>
    <t xml:space="preserve">Hub shield threshold</t>
  </si>
  <si>
    <t xml:space="preserve">× Health</t>
  </si>
  <si>
    <t xml:space="preserve">Siege check</t>
  </si>
  <si>
    <t xml:space="preserve">Enemy Core Health</t>
  </si>
  <si>
    <t xml:space="preserve">Attackers</t>
  </si>
  <si>
    <t xml:space="preserve">Enemy Core reward</t>
  </si>
  <si>
    <t xml:space="preserve">Damage/s per attacker (Stage 3)</t>
  </si>
  <si>
    <t xml:space="preserve">Enemy Core regrowth</t>
  </si>
  <si>
    <t xml:space="preserve">Team structure DPS</t>
  </si>
  <si>
    <t xml:space="preserve">Base Heart Health</t>
  </si>
  <si>
    <t xml:space="preserve">Level 0 Hub shield (s)</t>
  </si>
  <si>
    <t xml:space="preserve">Event region cooldown</t>
  </si>
  <si>
    <t xml:space="preserve">§8</t>
  </si>
  <si>
    <t xml:space="preserve">Level 10 Hub shield (s)</t>
  </si>
  <si>
    <t xml:space="preserve">Global event spacing</t>
  </si>
  <si>
    <t xml:space="preserve">Enemy Core (s)</t>
  </si>
  <si>
    <t xml:space="preserve">Patron deck chance when behind</t>
  </si>
  <si>
    <t xml:space="preserve">Base Heart (s)</t>
  </si>
  <si>
    <t xml:space="preserve">Patron trigger TI gap</t>
  </si>
  <si>
    <t xml:space="preserve">Time limit</t>
  </si>
  <si>
    <t xml:space="preserve">§10</t>
  </si>
  <si>
    <t xml:space="preserve">Territorial Influence calculator</t>
  </si>
  <si>
    <t xml:space="preserve">Overtime</t>
  </si>
  <si>
    <t xml:space="preserve">Cells held</t>
  </si>
  <si>
    <t xml:space="preserve">Hubs held</t>
  </si>
  <si>
    <t xml:space="preserve">Version B rules (approved 2026-10-19, audit/GAME_DESIGN_DOCUMENT.md)</t>
  </si>
  <si>
    <t xml:space="preserve">Hub Defense seconds per level</t>
  </si>
  <si>
    <t xml:space="preserve">Version B §8</t>
  </si>
  <si>
    <t xml:space="preserve">Level of player</t>
  </si>
  <si>
    <t xml:space="preserve">Hunt territory speed multiplier</t>
  </si>
  <si>
    <t xml:space="preserve">Version B §4</t>
  </si>
  <si>
    <t xml:space="preserve">Dominance Power bonus</t>
  </si>
  <si>
    <t xml:space="preserve">Field channel base</t>
  </si>
  <si>
    <t xml:space="preserve">Version B §5</t>
  </si>
  <si>
    <t xml:space="preserve">SAP per minute (team)</t>
  </si>
  <si>
    <t xml:space="preserve">Field channel per 50 cores</t>
  </si>
  <si>
    <t xml:space="preserve">Field ally speedup</t>
  </si>
  <si>
    <t xml:space="preserve">Field ally speedup cap</t>
  </si>
  <si>
    <t xml:space="preserve">Synergy range</t>
  </si>
  <si>
    <t xml:space="preserve">m</t>
  </si>
  <si>
    <t xml:space="preserve">Version B §7</t>
  </si>
  <si>
    <t xml:space="preserve">Synergy cooldown</t>
  </si>
  <si>
    <t xml:space="preserve">Synergy follow-up window</t>
  </si>
  <si>
    <t xml:space="preserve">Grey Migration time</t>
  </si>
  <si>
    <t xml:space="preserve">Grey Migration duration</t>
  </si>
  <si>
    <t xml:space="preserve">Grey Migration damage</t>
  </si>
  <si>
    <t xml:space="preserve">Health/s</t>
  </si>
  <si>
    <t xml:space="preserve">Sap Draw heal per second</t>
  </si>
  <si>
    <t xml:space="preserve">× max Health</t>
  </si>
  <si>
    <t xml:space="preserve">Version B §6</t>
  </si>
  <si>
    <t xml:space="preserve">Sap Draw radius</t>
  </si>
  <si>
    <t xml:space="preserve">Overgrowth node cap</t>
  </si>
  <si>
    <t xml:space="preserve">nodes</t>
  </si>
  <si>
    <t xml:space="preserve">Bot reaction Easy</t>
  </si>
  <si>
    <t xml:space="preserve">Version B §10</t>
  </si>
  <si>
    <t xml:space="preserve">Bot reaction Normal</t>
  </si>
  <si>
    <t xml:space="preserve">Bot reaction Hard</t>
  </si>
  <si>
    <t xml:space="preserve">Bot aim error Easy</t>
  </si>
  <si>
    <t xml:space="preserve">°</t>
  </si>
  <si>
    <t xml:space="preserve">Bot aim error Normal</t>
  </si>
  <si>
    <t xml:space="preserve">Bot aim error Hard</t>
  </si>
  <si>
    <t xml:space="preserve">Bot return min Easy</t>
  </si>
  <si>
    <t xml:space="preserve">Bot return max Easy</t>
  </si>
  <si>
    <t xml:space="preserve">Bot return min Normal</t>
  </si>
  <si>
    <t xml:space="preserve">Bot return max Normal</t>
  </si>
  <si>
    <t xml:space="preserve">Bot return min Hard</t>
  </si>
  <si>
    <t xml:space="preserve">Bot return max Hard</t>
  </si>
  <si>
    <t xml:space="preserve">Hub ring radius</t>
  </si>
  <si>
    <t xml:space="preserve">Version B §5, §8</t>
  </si>
  <si>
    <t xml:space="preserve">Field damage pause</t>
  </si>
  <si>
    <t xml:space="preserve">L20 Hub seconds per 100 cores</t>
  </si>
  <si>
    <t xml:space="preserve">Synergy mark damage bonus</t>
  </si>
  <si>
    <t xml:space="preserve">Synergy mark duration</t>
  </si>
  <si>
    <t xml:space="preserve">Smash &amp; Roll airborne</t>
  </si>
  <si>
    <t xml:space="preserve">Smash &amp; Roll Momentum</t>
  </si>
  <si>
    <t xml:space="preserve">Momentum</t>
  </si>
  <si>
    <t xml:space="preserve">Smash &amp; Roll Slam refund</t>
  </si>
  <si>
    <t xml:space="preserve">Commitment Slam penalty</t>
  </si>
  <si>
    <t xml:space="preserve">Void Garden radius</t>
  </si>
  <si>
    <t xml:space="preserve">Void Garden duration</t>
  </si>
  <si>
    <t xml:space="preserve">Void Garden Control loss</t>
  </si>
  <si>
    <t xml:space="preserve">Void Garden capture speedup</t>
  </si>
  <si>
    <t xml:space="preserve">Fortress duration</t>
  </si>
  <si>
    <t xml:space="preserve">Version B §6 / Spec 03</t>
  </si>
  <si>
    <t xml:space="preserve">Fortress self reduction</t>
  </si>
  <si>
    <t xml:space="preserve">Fortress ally reduction</t>
  </si>
  <si>
    <t xml:space="preserve">Tension rates and event decks (Spec 05 §8)</t>
  </si>
  <si>
    <t xml:space="preserve">Factor</t>
  </si>
  <si>
    <t xml:space="preserve">Borders touching (base)</t>
  </si>
  <si>
    <t xml:space="preserve">Tension/s</t>
  </si>
  <si>
    <t xml:space="preserve">Each fight within 15 m of a border</t>
  </si>
  <si>
    <t xml:space="preserve">Stage 2 nearby</t>
  </si>
  <si>
    <t xml:space="preserve">× on fight rate</t>
  </si>
  <si>
    <t xml:space="preserve">Stage 3 nearby</t>
  </si>
  <si>
    <t xml:space="preserve">Old Tall within 30 m</t>
  </si>
  <si>
    <t xml:space="preserve">× all</t>
  </si>
  <si>
    <t xml:space="preserve">Decay after 30 s without fighting</t>
  </si>
  <si>
    <t xml:space="preserve">Event threshold</t>
  </si>
  <si>
    <t xml:space="preserve">Tension</t>
  </si>
  <si>
    <t xml:space="preserve">Time to an event: steady border + one fight a minute lasting 10 s</t>
  </si>
  <si>
    <t xml:space="preserve">Average Tension/s</t>
  </si>
  <si>
    <t xml:space="preserve">Seconds to threshold</t>
  </si>
  <si>
    <t xml:space="preserve">Minutes to threshold</t>
  </si>
  <si>
    <t xml:space="preserve">Deck</t>
  </si>
  <si>
    <t xml:space="preserve">Event</t>
  </si>
  <si>
    <t xml:space="preserve">Weight</t>
  </si>
  <si>
    <t xml:space="preserve">Duration (s)</t>
  </si>
  <si>
    <t xml:space="preserve">Neutral</t>
  </si>
  <si>
    <t xml:space="preserve">Rootquake</t>
  </si>
  <si>
    <t xml:space="preserve">All nodes in the region Vulnerable</t>
  </si>
  <si>
    <t xml:space="preserve">Marrow Storm</t>
  </si>
  <si>
    <t xml:space="preserve">Weak points exposed from any angle for everyone in the region</t>
  </si>
  <si>
    <t xml:space="preserve">Stampede</t>
  </si>
  <si>
    <t xml:space="preserve">Staggers last +50%; Momentum gain ×2</t>
  </si>
  <si>
    <t xml:space="preserve">SAP Surge</t>
  </si>
  <si>
    <t xml:space="preserve">First team to spend 200 SAP at the geyser: ×3 SAP from the region's cells for 60 s</t>
  </si>
  <si>
    <t xml:space="preserve">Core Bloom</t>
  </si>
  <si>
    <t xml:space="preserve">400 loose cores at the region's centre (wildlife cap doesn't apply)</t>
  </si>
  <si>
    <t xml:space="preserve">Planet Pulse</t>
  </si>
  <si>
    <t xml:space="preserve">Heartquake</t>
  </si>
  <si>
    <t xml:space="preserve">Blightborn nodes in the region Vulnerable; Blight cells there uproot at half time</t>
  </si>
  <si>
    <t xml:space="preserve">Healing Bloom</t>
  </si>
  <si>
    <t xml:space="preserve">Wildborn in the region regenerate 3% max Health/s (counts toward the 5%/s cap)</t>
  </si>
  <si>
    <t xml:space="preserve">The Old Tall wakes</t>
  </si>
  <si>
    <t xml:space="preserve">Spawns the Old Tall (Spec 04), hunting Blightborn</t>
  </si>
  <si>
    <t xml:space="preserve">Murmur Surge</t>
  </si>
  <si>
    <t xml:space="preserve">Shard Rain</t>
  </si>
  <si>
    <t xml:space="preserve">Shards fall on Wildborn structures in the region: 150 damage per second, final</t>
  </si>
  <si>
    <t xml:space="preserve">Thousand Whispers</t>
  </si>
  <si>
    <t xml:space="preserve">All Wildborn revealed map-wide</t>
  </si>
  <si>
    <t xml:space="preserve">Blighted Wyrm</t>
  </si>
  <si>
    <t xml:space="preserve">Spawns a Blighted Sixfold Wyrm (Spec 04), hunting Wildborn</t>
  </si>
  <si>
    <t xml:space="preserve">Weight checks (each deck should total 100%)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</si>
</sst>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A4A3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6" t="s">
        <v>5</v>
      </c>
    </row>
    <row r="8" customFormat="false" ht="15" hidden="false" customHeight="true" outlineLevel="0" collapsed="false">
      <c r="A8" s="7" t="s">
        <v>6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6" min="3" style="1" width="10"/>
    <col collapsed="false" customWidth="true" hidden="false" outlineLevel="0" max="26" min="7" style="1" width="7"/>
  </cols>
  <sheetData>
    <row r="1" customFormat="false" ht="17.25" hidden="false" customHeight="true" outlineLevel="0" collapsed="false">
      <c r="A1" s="2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5" hidden="false" customHeight="true" outlineLevel="0" collapsed="false">
      <c r="A2" s="3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" hidden="false" customHeight="true" outlineLevel="0" collapsed="false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33</v>
      </c>
      <c r="O3" s="9" t="s">
        <v>34</v>
      </c>
      <c r="P3" s="9" t="s">
        <v>35</v>
      </c>
      <c r="Q3" s="9" t="s">
        <v>36</v>
      </c>
      <c r="R3" s="9" t="s">
        <v>37</v>
      </c>
      <c r="S3" s="9" t="s">
        <v>38</v>
      </c>
      <c r="T3" s="9" t="s">
        <v>39</v>
      </c>
      <c r="U3" s="9" t="s">
        <v>40</v>
      </c>
      <c r="V3" s="9" t="s">
        <v>41</v>
      </c>
      <c r="W3" s="9" t="s">
        <v>42</v>
      </c>
      <c r="X3" s="9" t="s">
        <v>43</v>
      </c>
      <c r="Y3" s="9" t="s">
        <v>44</v>
      </c>
      <c r="Z3" s="9" t="s">
        <v>45</v>
      </c>
    </row>
    <row r="4" customFormat="false" ht="15" hidden="false" customHeight="true" outlineLevel="0" collapsed="false">
      <c r="A4" s="8"/>
      <c r="B4" s="8"/>
      <c r="C4" s="4" t="s">
        <v>46</v>
      </c>
      <c r="D4" s="8"/>
      <c r="E4" s="8"/>
      <c r="F4" s="8"/>
      <c r="G4" s="4" t="n">
        <v>1</v>
      </c>
      <c r="H4" s="4" t="n">
        <v>2</v>
      </c>
      <c r="I4" s="4" t="n">
        <v>3</v>
      </c>
      <c r="J4" s="4" t="n">
        <v>4</v>
      </c>
      <c r="K4" s="4" t="n">
        <v>5</v>
      </c>
      <c r="L4" s="4" t="n">
        <v>6</v>
      </c>
      <c r="M4" s="4" t="n">
        <v>7</v>
      </c>
      <c r="N4" s="4" t="n">
        <v>8</v>
      </c>
      <c r="O4" s="4" t="n">
        <v>9</v>
      </c>
      <c r="P4" s="4" t="n">
        <v>10</v>
      </c>
      <c r="Q4" s="4" t="n">
        <v>11</v>
      </c>
      <c r="R4" s="4" t="n">
        <v>12</v>
      </c>
      <c r="S4" s="4" t="n">
        <v>13</v>
      </c>
      <c r="T4" s="4" t="n">
        <v>14</v>
      </c>
      <c r="U4" s="4" t="n">
        <v>15</v>
      </c>
      <c r="V4" s="4" t="n">
        <v>16</v>
      </c>
      <c r="W4" s="4" t="n">
        <v>17</v>
      </c>
      <c r="X4" s="4" t="n">
        <v>18</v>
      </c>
      <c r="Y4" s="4" t="n">
        <v>19</v>
      </c>
      <c r="Z4" s="4" t="n">
        <v>20</v>
      </c>
    </row>
    <row r="5" customFormat="false" ht="15" hidden="false" customHeight="true" outlineLevel="0" collapsed="false">
      <c r="A5" s="3" t="s">
        <v>47</v>
      </c>
      <c r="B5" s="3" t="s">
        <v>48</v>
      </c>
      <c r="C5" s="3" t="s">
        <v>49</v>
      </c>
      <c r="D5" s="5" t="n">
        <v>600</v>
      </c>
      <c r="E5" s="5" t="n">
        <v>2600</v>
      </c>
      <c r="F5" s="10" t="n">
        <v>5200</v>
      </c>
      <c r="G5" s="3" t="n">
        <f aca="false">ROUND(IF(G$4&lt;=10,$D5+($E5-$D5)*(0.5*((G$4-1)/9)+0.5*(3*((G$4-1)/9)^2-2*((G$4-1)/9)^3)),$E5+($F5-$E5)*(0.5*((G$4-10)/10)+0.5*(3*((G$4-10)/10)^2-2*((G$4-10)/10)^3))),0)</f>
        <v>600</v>
      </c>
      <c r="H5" s="3" t="n">
        <f aca="false">ROUND(IF(H$4&lt;=10,$D5+($E5-$D5)*(0.5*((H$4-1)/9)+0.5*(3*((H$4-1)/9)^2-2*((H$4-1)/9)^3)),$E5+($F5-$E5)*(0.5*((H$4-10)/10)+0.5*(3*((H$4-10)/10)^2-2*((H$4-10)/10)^3))),0)</f>
        <v>745</v>
      </c>
      <c r="I5" s="3" t="n">
        <f aca="false">ROUND(IF(I$4&lt;=10,$D5+($E5-$D5)*(0.5*((I$4-1)/9)+0.5*(3*((I$4-1)/9)^2-2*((I$4-1)/9)^3)),$E5+($F5-$E5)*(0.5*((I$4-10)/10)+0.5*(3*((I$4-10)/10)^2-2*((I$4-10)/10)^3))),0)</f>
        <v>948</v>
      </c>
      <c r="J5" s="3" t="n">
        <f aca="false">ROUND(IF(J$4&lt;=10,$D5+($E5-$D5)*(0.5*((J$4-1)/9)+0.5*(3*((J$4-1)/9)^2-2*((J$4-1)/9)^3)),$E5+($F5-$E5)*(0.5*((J$4-10)/10)+0.5*(3*((J$4-10)/10)^2-2*((J$4-10)/10)^3))),0)</f>
        <v>1193</v>
      </c>
      <c r="K5" s="3" t="n">
        <f aca="false">ROUND(IF(K$4&lt;=10,$D5+($E5-$D5)*(0.5*((K$4-1)/9)+0.5*(3*((K$4-1)/9)^2-2*((K$4-1)/9)^3)),$E5+($F5-$E5)*(0.5*((K$4-10)/10)+0.5*(3*((K$4-10)/10)^2-2*((K$4-10)/10)^3))),0)</f>
        <v>1461</v>
      </c>
      <c r="L5" s="3" t="n">
        <f aca="false">ROUND(IF(L$4&lt;=10,$D5+($E5-$D5)*(0.5*((L$4-1)/9)+0.5*(3*((L$4-1)/9)^2-2*((L$4-1)/9)^3)),$E5+($F5-$E5)*(0.5*((L$4-10)/10)+0.5*(3*((L$4-10)/10)^2-2*((L$4-10)/10)^3))),0)</f>
        <v>1739</v>
      </c>
      <c r="M5" s="3" t="n">
        <f aca="false">ROUND(IF(M$4&lt;=10,$D5+($E5-$D5)*(0.5*((M$4-1)/9)+0.5*(3*((M$4-1)/9)^2-2*((M$4-1)/9)^3)),$E5+($F5-$E5)*(0.5*((M$4-10)/10)+0.5*(3*((M$4-10)/10)^2-2*((M$4-10)/10)^3))),0)</f>
        <v>2007</v>
      </c>
      <c r="N5" s="3" t="n">
        <f aca="false">ROUND(IF(N$4&lt;=10,$D5+($E5-$D5)*(0.5*((N$4-1)/9)+0.5*(3*((N$4-1)/9)^2-2*((N$4-1)/9)^3)),$E5+($F5-$E5)*(0.5*((N$4-10)/10)+0.5*(3*((N$4-10)/10)^2-2*((N$4-10)/10)^3))),0)</f>
        <v>2252</v>
      </c>
      <c r="O5" s="3" t="n">
        <f aca="false">ROUND(IF(O$4&lt;=10,$D5+($E5-$D5)*(0.5*((O$4-1)/9)+0.5*(3*((O$4-1)/9)^2-2*((O$4-1)/9)^3)),$E5+($F5-$E5)*(0.5*((O$4-10)/10)+0.5*(3*((O$4-10)/10)^2-2*((O$4-10)/10)^3))),0)</f>
        <v>2455</v>
      </c>
      <c r="P5" s="3" t="n">
        <f aca="false">ROUND(IF(P$4&lt;=10,$D5+($E5-$D5)*(0.5*((P$4-1)/9)+0.5*(3*((P$4-1)/9)^2-2*((P$4-1)/9)^3)),$E5+($F5-$E5)*(0.5*((P$4-10)/10)+0.5*(3*((P$4-10)/10)^2-2*((P$4-10)/10)^3))),0)</f>
        <v>2600</v>
      </c>
      <c r="Q5" s="3" t="n">
        <f aca="false">ROUND(IF(Q$4&lt;=10,$D5+($E5-$D5)*(0.5*((Q$4-1)/9)+0.5*(3*((Q$4-1)/9)^2-2*((Q$4-1)/9)^3)),$E5+($F5-$E5)*(0.5*((Q$4-10)/10)+0.5*(3*((Q$4-10)/10)^2-2*((Q$4-10)/10)^3))),0)</f>
        <v>2766</v>
      </c>
      <c r="R5" s="3" t="n">
        <f aca="false">ROUND(IF(R$4&lt;=10,$D5+($E5-$D5)*(0.5*((R$4-1)/9)+0.5*(3*((R$4-1)/9)^2-2*((R$4-1)/9)^3)),$E5+($F5-$E5)*(0.5*((R$4-10)/10)+0.5*(3*((R$4-10)/10)^2-2*((R$4-10)/10)^3))),0)</f>
        <v>2995</v>
      </c>
      <c r="S5" s="3" t="n">
        <f aca="false">ROUND(IF(S$4&lt;=10,$D5+($E5-$D5)*(0.5*((S$4-1)/9)+0.5*(3*((S$4-1)/9)^2-2*((S$4-1)/9)^3)),$E5+($F5-$E5)*(0.5*((S$4-10)/10)+0.5*(3*((S$4-10)/10)^2-2*((S$4-10)/10)^3))),0)</f>
        <v>3271</v>
      </c>
      <c r="T5" s="3" t="n">
        <f aca="false">ROUND(IF(T$4&lt;=10,$D5+($E5-$D5)*(0.5*((T$4-1)/9)+0.5*(3*((T$4-1)/9)^2-2*((T$4-1)/9)^3)),$E5+($F5-$E5)*(0.5*((T$4-10)/10)+0.5*(3*((T$4-10)/10)^2-2*((T$4-10)/10)^3))),0)</f>
        <v>3578</v>
      </c>
      <c r="U5" s="3" t="n">
        <f aca="false">ROUND(IF(U$4&lt;=10,$D5+($E5-$D5)*(0.5*((U$4-1)/9)+0.5*(3*((U$4-1)/9)^2-2*((U$4-1)/9)^3)),$E5+($F5-$E5)*(0.5*((U$4-10)/10)+0.5*(3*((U$4-10)/10)^2-2*((U$4-10)/10)^3))),0)</f>
        <v>3900</v>
      </c>
      <c r="V5" s="3" t="n">
        <f aca="false">ROUND(IF(V$4&lt;=10,$D5+($E5-$D5)*(0.5*((V$4-1)/9)+0.5*(3*((V$4-1)/9)^2-2*((V$4-1)/9)^3)),$E5+($F5-$E5)*(0.5*((V$4-10)/10)+0.5*(3*((V$4-10)/10)^2-2*((V$4-10)/10)^3))),0)</f>
        <v>4222</v>
      </c>
      <c r="W5" s="3" t="n">
        <f aca="false">ROUND(IF(W$4&lt;=10,$D5+($E5-$D5)*(0.5*((W$4-1)/9)+0.5*(3*((W$4-1)/9)^2-2*((W$4-1)/9)^3)),$E5+($F5-$E5)*(0.5*((W$4-10)/10)+0.5*(3*((W$4-10)/10)^2-2*((W$4-10)/10)^3))),0)</f>
        <v>4529</v>
      </c>
      <c r="X5" s="3" t="n">
        <f aca="false">ROUND(IF(X$4&lt;=10,$D5+($E5-$D5)*(0.5*((X$4-1)/9)+0.5*(3*((X$4-1)/9)^2-2*((X$4-1)/9)^3)),$E5+($F5-$E5)*(0.5*((X$4-10)/10)+0.5*(3*((X$4-10)/10)^2-2*((X$4-10)/10)^3))),0)</f>
        <v>4805</v>
      </c>
      <c r="Y5" s="3" t="n">
        <f aca="false">ROUND(IF(Y$4&lt;=10,$D5+($E5-$D5)*(0.5*((Y$4-1)/9)+0.5*(3*((Y$4-1)/9)^2-2*((Y$4-1)/9)^3)),$E5+($F5-$E5)*(0.5*((Y$4-10)/10)+0.5*(3*((Y$4-10)/10)^2-2*((Y$4-10)/10)^3))),0)</f>
        <v>5034</v>
      </c>
      <c r="Z5" s="3" t="n">
        <f aca="false">ROUND(IF(Z$4&lt;=10,$D5+($E5-$D5)*(0.5*((Z$4-1)/9)+0.5*(3*((Z$4-1)/9)^2-2*((Z$4-1)/9)^3)),$E5+($F5-$E5)*(0.5*((Z$4-10)/10)+0.5*(3*((Z$4-10)/10)^2-2*((Z$4-10)/10)^3))),0)</f>
        <v>5200</v>
      </c>
    </row>
    <row r="6" customFormat="false" ht="15" hidden="false" customHeight="true" outlineLevel="0" collapsed="false">
      <c r="A6" s="3" t="s">
        <v>50</v>
      </c>
      <c r="B6" s="3" t="s">
        <v>48</v>
      </c>
      <c r="C6" s="3" t="s">
        <v>51</v>
      </c>
      <c r="D6" s="5" t="n">
        <v>40</v>
      </c>
      <c r="E6" s="5" t="n">
        <v>100</v>
      </c>
      <c r="F6" s="5" t="n">
        <v>180</v>
      </c>
      <c r="G6" s="3" t="n">
        <f aca="false">ROUND(IF(G$4&lt;=10,$D6+($E6-$D6)*(0.5*((G$4-1)/9)+0.5*(3*((G$4-1)/9)^2-2*((G$4-1)/9)^3)),$E6+($F6-$E6)*(0.5*((G$4-10)/10)+0.5*(3*((G$4-10)/10)^2-2*((G$4-10)/10)^3))),0)</f>
        <v>40</v>
      </c>
      <c r="H6" s="3" t="n">
        <f aca="false">ROUND(IF(H$4&lt;=10,$D6+($E6-$D6)*(0.5*((H$4-1)/9)+0.5*(3*((H$4-1)/9)^2-2*((H$4-1)/9)^3)),$E6+($F6-$E6)*(0.5*((H$4-10)/10)+0.5*(3*((H$4-10)/10)^2-2*((H$4-10)/10)^3))),0)</f>
        <v>44</v>
      </c>
      <c r="I6" s="3" t="n">
        <f aca="false">ROUND(IF(I$4&lt;=10,$D6+($E6-$D6)*(0.5*((I$4-1)/9)+0.5*(3*((I$4-1)/9)^2-2*((I$4-1)/9)^3)),$E6+($F6-$E6)*(0.5*((I$4-10)/10)+0.5*(3*((I$4-10)/10)^2-2*((I$4-10)/10)^3))),0)</f>
        <v>50</v>
      </c>
      <c r="J6" s="3" t="n">
        <f aca="false">ROUND(IF(J$4&lt;=10,$D6+($E6-$D6)*(0.5*((J$4-1)/9)+0.5*(3*((J$4-1)/9)^2-2*((J$4-1)/9)^3)),$E6+($F6-$E6)*(0.5*((J$4-10)/10)+0.5*(3*((J$4-10)/10)^2-2*((J$4-10)/10)^3))),0)</f>
        <v>58</v>
      </c>
      <c r="K6" s="3" t="n">
        <f aca="false">ROUND(IF(K$4&lt;=10,$D6+($E6-$D6)*(0.5*((K$4-1)/9)+0.5*(3*((K$4-1)/9)^2-2*((K$4-1)/9)^3)),$E6+($F6-$E6)*(0.5*((K$4-10)/10)+0.5*(3*((K$4-10)/10)^2-2*((K$4-10)/10)^3))),0)</f>
        <v>66</v>
      </c>
      <c r="L6" s="3" t="n">
        <f aca="false">ROUND(IF(L$4&lt;=10,$D6+($E6-$D6)*(0.5*((L$4-1)/9)+0.5*(3*((L$4-1)/9)^2-2*((L$4-1)/9)^3)),$E6+($F6-$E6)*(0.5*((L$4-10)/10)+0.5*(3*((L$4-10)/10)^2-2*((L$4-10)/10)^3))),0)</f>
        <v>74</v>
      </c>
      <c r="M6" s="3" t="n">
        <f aca="false">ROUND(IF(M$4&lt;=10,$D6+($E6-$D6)*(0.5*((M$4-1)/9)+0.5*(3*((M$4-1)/9)^2-2*((M$4-1)/9)^3)),$E6+($F6-$E6)*(0.5*((M$4-10)/10)+0.5*(3*((M$4-10)/10)^2-2*((M$4-10)/10)^3))),0)</f>
        <v>82</v>
      </c>
      <c r="N6" s="3" t="n">
        <f aca="false">ROUND(IF(N$4&lt;=10,$D6+($E6-$D6)*(0.5*((N$4-1)/9)+0.5*(3*((N$4-1)/9)^2-2*((N$4-1)/9)^3)),$E6+($F6-$E6)*(0.5*((N$4-10)/10)+0.5*(3*((N$4-10)/10)^2-2*((N$4-10)/10)^3))),0)</f>
        <v>90</v>
      </c>
      <c r="O6" s="3" t="n">
        <f aca="false">ROUND(IF(O$4&lt;=10,$D6+($E6-$D6)*(0.5*((O$4-1)/9)+0.5*(3*((O$4-1)/9)^2-2*((O$4-1)/9)^3)),$E6+($F6-$E6)*(0.5*((O$4-10)/10)+0.5*(3*((O$4-10)/10)^2-2*((O$4-10)/10)^3))),0)</f>
        <v>96</v>
      </c>
      <c r="P6" s="3" t="n">
        <f aca="false">ROUND(IF(P$4&lt;=10,$D6+($E6-$D6)*(0.5*((P$4-1)/9)+0.5*(3*((P$4-1)/9)^2-2*((P$4-1)/9)^3)),$E6+($F6-$E6)*(0.5*((P$4-10)/10)+0.5*(3*((P$4-10)/10)^2-2*((P$4-10)/10)^3))),0)</f>
        <v>100</v>
      </c>
      <c r="Q6" s="3" t="n">
        <f aca="false">ROUND(IF(Q$4&lt;=10,$D6+($E6-$D6)*(0.5*((Q$4-1)/9)+0.5*(3*((Q$4-1)/9)^2-2*((Q$4-1)/9)^3)),$E6+($F6-$E6)*(0.5*((Q$4-10)/10)+0.5*(3*((Q$4-10)/10)^2-2*((Q$4-10)/10)^3))),0)</f>
        <v>105</v>
      </c>
      <c r="R6" s="3" t="n">
        <f aca="false">ROUND(IF(R$4&lt;=10,$D6+($E6-$D6)*(0.5*((R$4-1)/9)+0.5*(3*((R$4-1)/9)^2-2*((R$4-1)/9)^3)),$E6+($F6-$E6)*(0.5*((R$4-10)/10)+0.5*(3*((R$4-10)/10)^2-2*((R$4-10)/10)^3))),0)</f>
        <v>112</v>
      </c>
      <c r="S6" s="3" t="n">
        <f aca="false">ROUND(IF(S$4&lt;=10,$D6+($E6-$D6)*(0.5*((S$4-1)/9)+0.5*(3*((S$4-1)/9)^2-2*((S$4-1)/9)^3)),$E6+($F6-$E6)*(0.5*((S$4-10)/10)+0.5*(3*((S$4-10)/10)^2-2*((S$4-10)/10)^3))),0)</f>
        <v>121</v>
      </c>
      <c r="T6" s="3" t="n">
        <f aca="false">ROUND(IF(T$4&lt;=10,$D6+($E6-$D6)*(0.5*((T$4-1)/9)+0.5*(3*((T$4-1)/9)^2-2*((T$4-1)/9)^3)),$E6+($F6-$E6)*(0.5*((T$4-10)/10)+0.5*(3*((T$4-10)/10)^2-2*((T$4-10)/10)^3))),0)</f>
        <v>130</v>
      </c>
      <c r="U6" s="3" t="n">
        <f aca="false">ROUND(IF(U$4&lt;=10,$D6+($E6-$D6)*(0.5*((U$4-1)/9)+0.5*(3*((U$4-1)/9)^2-2*((U$4-1)/9)^3)),$E6+($F6-$E6)*(0.5*((U$4-10)/10)+0.5*(3*((U$4-10)/10)^2-2*((U$4-10)/10)^3))),0)</f>
        <v>140</v>
      </c>
      <c r="V6" s="3" t="n">
        <f aca="false">ROUND(IF(V$4&lt;=10,$D6+($E6-$D6)*(0.5*((V$4-1)/9)+0.5*(3*((V$4-1)/9)^2-2*((V$4-1)/9)^3)),$E6+($F6-$E6)*(0.5*((V$4-10)/10)+0.5*(3*((V$4-10)/10)^2-2*((V$4-10)/10)^3))),0)</f>
        <v>150</v>
      </c>
      <c r="W6" s="3" t="n">
        <f aca="false">ROUND(IF(W$4&lt;=10,$D6+($E6-$D6)*(0.5*((W$4-1)/9)+0.5*(3*((W$4-1)/9)^2-2*((W$4-1)/9)^3)),$E6+($F6-$E6)*(0.5*((W$4-10)/10)+0.5*(3*((W$4-10)/10)^2-2*((W$4-10)/10)^3))),0)</f>
        <v>159</v>
      </c>
      <c r="X6" s="3" t="n">
        <f aca="false">ROUND(IF(X$4&lt;=10,$D6+($E6-$D6)*(0.5*((X$4-1)/9)+0.5*(3*((X$4-1)/9)^2-2*((X$4-1)/9)^3)),$E6+($F6-$E6)*(0.5*((X$4-10)/10)+0.5*(3*((X$4-10)/10)^2-2*((X$4-10)/10)^3))),0)</f>
        <v>168</v>
      </c>
      <c r="Y6" s="3" t="n">
        <f aca="false">ROUND(IF(Y$4&lt;=10,$D6+($E6-$D6)*(0.5*((Y$4-1)/9)+0.5*(3*((Y$4-1)/9)^2-2*((Y$4-1)/9)^3)),$E6+($F6-$E6)*(0.5*((Y$4-10)/10)+0.5*(3*((Y$4-10)/10)^2-2*((Y$4-10)/10)^3))),0)</f>
        <v>175</v>
      </c>
      <c r="Z6" s="3" t="n">
        <f aca="false">ROUND(IF(Z$4&lt;=10,$D6+($E6-$D6)*(0.5*((Z$4-1)/9)+0.5*(3*((Z$4-1)/9)^2-2*((Z$4-1)/9)^3)),$E6+($F6-$E6)*(0.5*((Z$4-10)/10)+0.5*(3*((Z$4-10)/10)^2-2*((Z$4-10)/10)^3))),0)</f>
        <v>180</v>
      </c>
    </row>
    <row r="7" customFormat="false" ht="15" hidden="false" customHeight="true" outlineLevel="0" collapsed="false">
      <c r="A7" s="3" t="s">
        <v>52</v>
      </c>
      <c r="B7" s="3" t="s">
        <v>48</v>
      </c>
      <c r="C7" s="3" t="s">
        <v>53</v>
      </c>
      <c r="D7" s="5" t="n">
        <v>100</v>
      </c>
      <c r="E7" s="5" t="n">
        <v>90</v>
      </c>
      <c r="F7" s="5" t="n">
        <v>85</v>
      </c>
      <c r="G7" s="3" t="n">
        <f aca="false">ROUND(IF(G$4&lt;=10,$D7+($E7-$D7)*(0.5*((G$4-1)/9)+0.5*(3*((G$4-1)/9)^2-2*((G$4-1)/9)^3)),$E7+($F7-$E7)*(0.5*((G$4-10)/10)+0.5*(3*((G$4-10)/10)^2-2*((G$4-10)/10)^3))),0)</f>
        <v>100</v>
      </c>
      <c r="H7" s="3" t="n">
        <f aca="false">ROUND(IF(H$4&lt;=10,$D7+($E7-$D7)*(0.5*((H$4-1)/9)+0.5*(3*((H$4-1)/9)^2-2*((H$4-1)/9)^3)),$E7+($F7-$E7)*(0.5*((H$4-10)/10)+0.5*(3*((H$4-10)/10)^2-2*((H$4-10)/10)^3))),0)</f>
        <v>99</v>
      </c>
      <c r="I7" s="3" t="n">
        <f aca="false">ROUND(IF(I$4&lt;=10,$D7+($E7-$D7)*(0.5*((I$4-1)/9)+0.5*(3*((I$4-1)/9)^2-2*((I$4-1)/9)^3)),$E7+($F7-$E7)*(0.5*((I$4-10)/10)+0.5*(3*((I$4-10)/10)^2-2*((I$4-10)/10)^3))),0)</f>
        <v>98</v>
      </c>
      <c r="J7" s="3" t="n">
        <f aca="false">ROUND(IF(J$4&lt;=10,$D7+($E7-$D7)*(0.5*((J$4-1)/9)+0.5*(3*((J$4-1)/9)^2-2*((J$4-1)/9)^3)),$E7+($F7-$E7)*(0.5*((J$4-10)/10)+0.5*(3*((J$4-10)/10)^2-2*((J$4-10)/10)^3))),0)</f>
        <v>97</v>
      </c>
      <c r="K7" s="3" t="n">
        <f aca="false">ROUND(IF(K$4&lt;=10,$D7+($E7-$D7)*(0.5*((K$4-1)/9)+0.5*(3*((K$4-1)/9)^2-2*((K$4-1)/9)^3)),$E7+($F7-$E7)*(0.5*((K$4-10)/10)+0.5*(3*((K$4-10)/10)^2-2*((K$4-10)/10)^3))),0)</f>
        <v>96</v>
      </c>
      <c r="L7" s="3" t="n">
        <f aca="false">ROUND(IF(L$4&lt;=10,$D7+($E7-$D7)*(0.5*((L$4-1)/9)+0.5*(3*((L$4-1)/9)^2-2*((L$4-1)/9)^3)),$E7+($F7-$E7)*(0.5*((L$4-10)/10)+0.5*(3*((L$4-10)/10)^2-2*((L$4-10)/10)^3))),0)</f>
        <v>94</v>
      </c>
      <c r="M7" s="3" t="n">
        <f aca="false">ROUND(IF(M$4&lt;=10,$D7+($E7-$D7)*(0.5*((M$4-1)/9)+0.5*(3*((M$4-1)/9)^2-2*((M$4-1)/9)^3)),$E7+($F7-$E7)*(0.5*((M$4-10)/10)+0.5*(3*((M$4-10)/10)^2-2*((M$4-10)/10)^3))),0)</f>
        <v>93</v>
      </c>
      <c r="N7" s="3" t="n">
        <f aca="false">ROUND(IF(N$4&lt;=10,$D7+($E7-$D7)*(0.5*((N$4-1)/9)+0.5*(3*((N$4-1)/9)^2-2*((N$4-1)/9)^3)),$E7+($F7-$E7)*(0.5*((N$4-10)/10)+0.5*(3*((N$4-10)/10)^2-2*((N$4-10)/10)^3))),0)</f>
        <v>92</v>
      </c>
      <c r="O7" s="3" t="n">
        <f aca="false">ROUND(IF(O$4&lt;=10,$D7+($E7-$D7)*(0.5*((O$4-1)/9)+0.5*(3*((O$4-1)/9)^2-2*((O$4-1)/9)^3)),$E7+($F7-$E7)*(0.5*((O$4-10)/10)+0.5*(3*((O$4-10)/10)^2-2*((O$4-10)/10)^3))),0)</f>
        <v>91</v>
      </c>
      <c r="P7" s="3" t="n">
        <f aca="false">ROUND(IF(P$4&lt;=10,$D7+($E7-$D7)*(0.5*((P$4-1)/9)+0.5*(3*((P$4-1)/9)^2-2*((P$4-1)/9)^3)),$E7+($F7-$E7)*(0.5*((P$4-10)/10)+0.5*(3*((P$4-10)/10)^2-2*((P$4-10)/10)^3))),0)</f>
        <v>90</v>
      </c>
      <c r="Q7" s="3" t="n">
        <f aca="false">ROUND(IF(Q$4&lt;=10,$D7+($E7-$D7)*(0.5*((Q$4-1)/9)+0.5*(3*((Q$4-1)/9)^2-2*((Q$4-1)/9)^3)),$E7+($F7-$E7)*(0.5*((Q$4-10)/10)+0.5*(3*((Q$4-10)/10)^2-2*((Q$4-10)/10)^3))),0)</f>
        <v>90</v>
      </c>
      <c r="R7" s="3" t="n">
        <f aca="false">ROUND(IF(R$4&lt;=10,$D7+($E7-$D7)*(0.5*((R$4-1)/9)+0.5*(3*((R$4-1)/9)^2-2*((R$4-1)/9)^3)),$E7+($F7-$E7)*(0.5*((R$4-10)/10)+0.5*(3*((R$4-10)/10)^2-2*((R$4-10)/10)^3))),0)</f>
        <v>89</v>
      </c>
      <c r="S7" s="3" t="n">
        <f aca="false">ROUND(IF(S$4&lt;=10,$D7+($E7-$D7)*(0.5*((S$4-1)/9)+0.5*(3*((S$4-1)/9)^2-2*((S$4-1)/9)^3)),$E7+($F7-$E7)*(0.5*((S$4-10)/10)+0.5*(3*((S$4-10)/10)^2-2*((S$4-10)/10)^3))),0)</f>
        <v>89</v>
      </c>
      <c r="T7" s="3" t="n">
        <f aca="false">ROUND(IF(T$4&lt;=10,$D7+($E7-$D7)*(0.5*((T$4-1)/9)+0.5*(3*((T$4-1)/9)^2-2*((T$4-1)/9)^3)),$E7+($F7-$E7)*(0.5*((T$4-10)/10)+0.5*(3*((T$4-10)/10)^2-2*((T$4-10)/10)^3))),0)</f>
        <v>88</v>
      </c>
      <c r="U7" s="3" t="n">
        <f aca="false">ROUND(IF(U$4&lt;=10,$D7+($E7-$D7)*(0.5*((U$4-1)/9)+0.5*(3*((U$4-1)/9)^2-2*((U$4-1)/9)^3)),$E7+($F7-$E7)*(0.5*((U$4-10)/10)+0.5*(3*((U$4-10)/10)^2-2*((U$4-10)/10)^3))),0)</f>
        <v>88</v>
      </c>
      <c r="V7" s="3" t="n">
        <f aca="false">ROUND(IF(V$4&lt;=10,$D7+($E7-$D7)*(0.5*((V$4-1)/9)+0.5*(3*((V$4-1)/9)^2-2*((V$4-1)/9)^3)),$E7+($F7-$E7)*(0.5*((V$4-10)/10)+0.5*(3*((V$4-10)/10)^2-2*((V$4-10)/10)^3))),0)</f>
        <v>87</v>
      </c>
      <c r="W7" s="3" t="n">
        <f aca="false">ROUND(IF(W$4&lt;=10,$D7+($E7-$D7)*(0.5*((W$4-1)/9)+0.5*(3*((W$4-1)/9)^2-2*((W$4-1)/9)^3)),$E7+($F7-$E7)*(0.5*((W$4-10)/10)+0.5*(3*((W$4-10)/10)^2-2*((W$4-10)/10)^3))),0)</f>
        <v>86</v>
      </c>
      <c r="X7" s="3" t="n">
        <f aca="false">ROUND(IF(X$4&lt;=10,$D7+($E7-$D7)*(0.5*((X$4-1)/9)+0.5*(3*((X$4-1)/9)^2-2*((X$4-1)/9)^3)),$E7+($F7-$E7)*(0.5*((X$4-10)/10)+0.5*(3*((X$4-10)/10)^2-2*((X$4-10)/10)^3))),0)</f>
        <v>86</v>
      </c>
      <c r="Y7" s="3" t="n">
        <f aca="false">ROUND(IF(Y$4&lt;=10,$D7+($E7-$D7)*(0.5*((Y$4-1)/9)+0.5*(3*((Y$4-1)/9)^2-2*((Y$4-1)/9)^3)),$E7+($F7-$E7)*(0.5*((Y$4-10)/10)+0.5*(3*((Y$4-10)/10)^2-2*((Y$4-10)/10)^3))),0)</f>
        <v>85</v>
      </c>
      <c r="Z7" s="3" t="n">
        <f aca="false">ROUND(IF(Z$4&lt;=10,$D7+($E7-$D7)*(0.5*((Z$4-1)/9)+0.5*(3*((Z$4-1)/9)^2-2*((Z$4-1)/9)^3)),$E7+($F7-$E7)*(0.5*((Z$4-10)/10)+0.5*(3*((Z$4-10)/10)^2-2*((Z$4-10)/10)^3))),0)</f>
        <v>85</v>
      </c>
    </row>
    <row r="8" customFormat="false" ht="15" hidden="false" customHeight="true" outlineLevel="0" collapsed="false">
      <c r="A8" s="3" t="s">
        <v>54</v>
      </c>
      <c r="B8" s="3" t="s">
        <v>48</v>
      </c>
      <c r="C8" s="3" t="s">
        <v>55</v>
      </c>
      <c r="D8" s="5" t="n">
        <v>10</v>
      </c>
      <c r="E8" s="5" t="n">
        <v>40</v>
      </c>
      <c r="F8" s="5" t="n">
        <v>70</v>
      </c>
      <c r="G8" s="3" t="n">
        <f aca="false">ROUND(IF(G$4&lt;=10,$D8+($E8-$D8)*(0.5*((G$4-1)/9)+0.5*(3*((G$4-1)/9)^2-2*((G$4-1)/9)^3)),$E8+($F8-$E8)*(0.5*((G$4-10)/10)+0.5*(3*((G$4-10)/10)^2-2*((G$4-10)/10)^3))),0)</f>
        <v>10</v>
      </c>
      <c r="H8" s="3" t="n">
        <f aca="false">ROUND(IF(H$4&lt;=10,$D8+($E8-$D8)*(0.5*((H$4-1)/9)+0.5*(3*((H$4-1)/9)^2-2*((H$4-1)/9)^3)),$E8+($F8-$E8)*(0.5*((H$4-10)/10)+0.5*(3*((H$4-10)/10)^2-2*((H$4-10)/10)^3))),0)</f>
        <v>12</v>
      </c>
      <c r="I8" s="3" t="n">
        <f aca="false">ROUND(IF(I$4&lt;=10,$D8+($E8-$D8)*(0.5*((I$4-1)/9)+0.5*(3*((I$4-1)/9)^2-2*((I$4-1)/9)^3)),$E8+($F8-$E8)*(0.5*((I$4-10)/10)+0.5*(3*((I$4-10)/10)^2-2*((I$4-10)/10)^3))),0)</f>
        <v>15</v>
      </c>
      <c r="J8" s="3" t="n">
        <f aca="false">ROUND(IF(J$4&lt;=10,$D8+($E8-$D8)*(0.5*((J$4-1)/9)+0.5*(3*((J$4-1)/9)^2-2*((J$4-1)/9)^3)),$E8+($F8-$E8)*(0.5*((J$4-10)/10)+0.5*(3*((J$4-10)/10)^2-2*((J$4-10)/10)^3))),0)</f>
        <v>19</v>
      </c>
      <c r="K8" s="3" t="n">
        <f aca="false">ROUND(IF(K$4&lt;=10,$D8+($E8-$D8)*(0.5*((K$4-1)/9)+0.5*(3*((K$4-1)/9)^2-2*((K$4-1)/9)^3)),$E8+($F8-$E8)*(0.5*((K$4-10)/10)+0.5*(3*((K$4-10)/10)^2-2*((K$4-10)/10)^3))),0)</f>
        <v>23</v>
      </c>
      <c r="L8" s="3" t="n">
        <f aca="false">ROUND(IF(L$4&lt;=10,$D8+($E8-$D8)*(0.5*((L$4-1)/9)+0.5*(3*((L$4-1)/9)^2-2*((L$4-1)/9)^3)),$E8+($F8-$E8)*(0.5*((L$4-10)/10)+0.5*(3*((L$4-10)/10)^2-2*((L$4-10)/10)^3))),0)</f>
        <v>27</v>
      </c>
      <c r="M8" s="3" t="n">
        <f aca="false">ROUND(IF(M$4&lt;=10,$D8+($E8-$D8)*(0.5*((M$4-1)/9)+0.5*(3*((M$4-1)/9)^2-2*((M$4-1)/9)^3)),$E8+($F8-$E8)*(0.5*((M$4-10)/10)+0.5*(3*((M$4-10)/10)^2-2*((M$4-10)/10)^3))),0)</f>
        <v>31</v>
      </c>
      <c r="N8" s="3" t="n">
        <f aca="false">ROUND(IF(N$4&lt;=10,$D8+($E8-$D8)*(0.5*((N$4-1)/9)+0.5*(3*((N$4-1)/9)^2-2*((N$4-1)/9)^3)),$E8+($F8-$E8)*(0.5*((N$4-10)/10)+0.5*(3*((N$4-10)/10)^2-2*((N$4-10)/10)^3))),0)</f>
        <v>35</v>
      </c>
      <c r="O8" s="3" t="n">
        <f aca="false">ROUND(IF(O$4&lt;=10,$D8+($E8-$D8)*(0.5*((O$4-1)/9)+0.5*(3*((O$4-1)/9)^2-2*((O$4-1)/9)^3)),$E8+($F8-$E8)*(0.5*((O$4-10)/10)+0.5*(3*((O$4-10)/10)^2-2*((O$4-10)/10)^3))),0)</f>
        <v>38</v>
      </c>
      <c r="P8" s="3" t="n">
        <f aca="false">ROUND(IF(P$4&lt;=10,$D8+($E8-$D8)*(0.5*((P$4-1)/9)+0.5*(3*((P$4-1)/9)^2-2*((P$4-1)/9)^3)),$E8+($F8-$E8)*(0.5*((P$4-10)/10)+0.5*(3*((P$4-10)/10)^2-2*((P$4-10)/10)^3))),0)</f>
        <v>40</v>
      </c>
      <c r="Q8" s="3" t="n">
        <f aca="false">ROUND(IF(Q$4&lt;=10,$D8+($E8-$D8)*(0.5*((Q$4-1)/9)+0.5*(3*((Q$4-1)/9)^2-2*((Q$4-1)/9)^3)),$E8+($F8-$E8)*(0.5*((Q$4-10)/10)+0.5*(3*((Q$4-10)/10)^2-2*((Q$4-10)/10)^3))),0)</f>
        <v>42</v>
      </c>
      <c r="R8" s="3" t="n">
        <f aca="false">ROUND(IF(R$4&lt;=10,$D8+($E8-$D8)*(0.5*((R$4-1)/9)+0.5*(3*((R$4-1)/9)^2-2*((R$4-1)/9)^3)),$E8+($F8-$E8)*(0.5*((R$4-10)/10)+0.5*(3*((R$4-10)/10)^2-2*((R$4-10)/10)^3))),0)</f>
        <v>45</v>
      </c>
      <c r="S8" s="3" t="n">
        <f aca="false">ROUND(IF(S$4&lt;=10,$D8+($E8-$D8)*(0.5*((S$4-1)/9)+0.5*(3*((S$4-1)/9)^2-2*((S$4-1)/9)^3)),$E8+($F8-$E8)*(0.5*((S$4-10)/10)+0.5*(3*((S$4-10)/10)^2-2*((S$4-10)/10)^3))),0)</f>
        <v>48</v>
      </c>
      <c r="T8" s="3" t="n">
        <f aca="false">ROUND(IF(T$4&lt;=10,$D8+($E8-$D8)*(0.5*((T$4-1)/9)+0.5*(3*((T$4-1)/9)^2-2*((T$4-1)/9)^3)),$E8+($F8-$E8)*(0.5*((T$4-10)/10)+0.5*(3*((T$4-10)/10)^2-2*((T$4-10)/10)^3))),0)</f>
        <v>51</v>
      </c>
      <c r="U8" s="3" t="n">
        <f aca="false">ROUND(IF(U$4&lt;=10,$D8+($E8-$D8)*(0.5*((U$4-1)/9)+0.5*(3*((U$4-1)/9)^2-2*((U$4-1)/9)^3)),$E8+($F8-$E8)*(0.5*((U$4-10)/10)+0.5*(3*((U$4-10)/10)^2-2*((U$4-10)/10)^3))),0)</f>
        <v>55</v>
      </c>
      <c r="V8" s="3" t="n">
        <f aca="false">ROUND(IF(V$4&lt;=10,$D8+($E8-$D8)*(0.5*((V$4-1)/9)+0.5*(3*((V$4-1)/9)^2-2*((V$4-1)/9)^3)),$E8+($F8-$E8)*(0.5*((V$4-10)/10)+0.5*(3*((V$4-10)/10)^2-2*((V$4-10)/10)^3))),0)</f>
        <v>59</v>
      </c>
      <c r="W8" s="3" t="n">
        <f aca="false">ROUND(IF(W$4&lt;=10,$D8+($E8-$D8)*(0.5*((W$4-1)/9)+0.5*(3*((W$4-1)/9)^2-2*((W$4-1)/9)^3)),$E8+($F8-$E8)*(0.5*((W$4-10)/10)+0.5*(3*((W$4-10)/10)^2-2*((W$4-10)/10)^3))),0)</f>
        <v>62</v>
      </c>
      <c r="X8" s="3" t="n">
        <f aca="false">ROUND(IF(X$4&lt;=10,$D8+($E8-$D8)*(0.5*((X$4-1)/9)+0.5*(3*((X$4-1)/9)^2-2*((X$4-1)/9)^3)),$E8+($F8-$E8)*(0.5*((X$4-10)/10)+0.5*(3*((X$4-10)/10)^2-2*((X$4-10)/10)^3))),0)</f>
        <v>65</v>
      </c>
      <c r="Y8" s="3" t="n">
        <f aca="false">ROUND(IF(Y$4&lt;=10,$D8+($E8-$D8)*(0.5*((Y$4-1)/9)+0.5*(3*((Y$4-1)/9)^2-2*((Y$4-1)/9)^3)),$E8+($F8-$E8)*(0.5*((Y$4-10)/10)+0.5*(3*((Y$4-10)/10)^2-2*((Y$4-10)/10)^3))),0)</f>
        <v>68</v>
      </c>
      <c r="Z8" s="3" t="n">
        <f aca="false">ROUND(IF(Z$4&lt;=10,$D8+($E8-$D8)*(0.5*((Z$4-1)/9)+0.5*(3*((Z$4-1)/9)^2-2*((Z$4-1)/9)^3)),$E8+($F8-$E8)*(0.5*((Z$4-10)/10)+0.5*(3*((Z$4-10)/10)^2-2*((Z$4-10)/10)^3))),0)</f>
        <v>70</v>
      </c>
    </row>
    <row r="9" customFormat="false" ht="15" hidden="false" customHeight="true" outlineLevel="0" collapsed="false">
      <c r="A9" s="3" t="s">
        <v>56</v>
      </c>
      <c r="B9" s="3" t="s">
        <v>57</v>
      </c>
      <c r="C9" s="3" t="s">
        <v>49</v>
      </c>
      <c r="D9" s="5" t="n">
        <v>600</v>
      </c>
      <c r="E9" s="5" t="n">
        <v>2000</v>
      </c>
      <c r="F9" s="10" t="n">
        <v>3800</v>
      </c>
      <c r="G9" s="3" t="n">
        <f aca="false">ROUND(IF(G$4&lt;=10,$D9+($E9-$D9)*(0.5*((G$4-1)/9)+0.5*(3*((G$4-1)/9)^2-2*((G$4-1)/9)^3)),$E9+($F9-$E9)*(0.5*((G$4-10)/10)+0.5*(3*((G$4-10)/10)^2-2*((G$4-10)/10)^3))),0)</f>
        <v>600</v>
      </c>
      <c r="H9" s="3" t="n">
        <f aca="false">ROUND(IF(H$4&lt;=10,$D9+($E9-$D9)*(0.5*((H$4-1)/9)+0.5*(3*((H$4-1)/9)^2-2*((H$4-1)/9)^3)),$E9+($F9-$E9)*(0.5*((H$4-10)/10)+0.5*(3*((H$4-10)/10)^2-2*((H$4-10)/10)^3))),0)</f>
        <v>702</v>
      </c>
      <c r="I9" s="3" t="n">
        <f aca="false">ROUND(IF(I$4&lt;=10,$D9+($E9-$D9)*(0.5*((I$4-1)/9)+0.5*(3*((I$4-1)/9)^2-2*((I$4-1)/9)^3)),$E9+($F9-$E9)*(0.5*((I$4-10)/10)+0.5*(3*((I$4-10)/10)^2-2*((I$4-10)/10)^3))),0)</f>
        <v>844</v>
      </c>
      <c r="J9" s="3" t="n">
        <f aca="false">ROUND(IF(J$4&lt;=10,$D9+($E9-$D9)*(0.5*((J$4-1)/9)+0.5*(3*((J$4-1)/9)^2-2*((J$4-1)/9)^3)),$E9+($F9-$E9)*(0.5*((J$4-10)/10)+0.5*(3*((J$4-10)/10)^2-2*((J$4-10)/10)^3))),0)</f>
        <v>1015</v>
      </c>
      <c r="K9" s="3" t="n">
        <f aca="false">ROUND(IF(K$4&lt;=10,$D9+($E9-$D9)*(0.5*((K$4-1)/9)+0.5*(3*((K$4-1)/9)^2-2*((K$4-1)/9)^3)),$E9+($F9-$E9)*(0.5*((K$4-10)/10)+0.5*(3*((K$4-10)/10)^2-2*((K$4-10)/10)^3))),0)</f>
        <v>1203</v>
      </c>
      <c r="L9" s="3" t="n">
        <f aca="false">ROUND(IF(L$4&lt;=10,$D9+($E9-$D9)*(0.5*((L$4-1)/9)+0.5*(3*((L$4-1)/9)^2-2*((L$4-1)/9)^3)),$E9+($F9-$E9)*(0.5*((L$4-10)/10)+0.5*(3*((L$4-10)/10)^2-2*((L$4-10)/10)^3))),0)</f>
        <v>1397</v>
      </c>
      <c r="M9" s="3" t="n">
        <f aca="false">ROUND(IF(M$4&lt;=10,$D9+($E9-$D9)*(0.5*((M$4-1)/9)+0.5*(3*((M$4-1)/9)^2-2*((M$4-1)/9)^3)),$E9+($F9-$E9)*(0.5*((M$4-10)/10)+0.5*(3*((M$4-10)/10)^2-2*((M$4-10)/10)^3))),0)</f>
        <v>1585</v>
      </c>
      <c r="N9" s="3" t="n">
        <f aca="false">ROUND(IF(N$4&lt;=10,$D9+($E9-$D9)*(0.5*((N$4-1)/9)+0.5*(3*((N$4-1)/9)^2-2*((N$4-1)/9)^3)),$E9+($F9-$E9)*(0.5*((N$4-10)/10)+0.5*(3*((N$4-10)/10)^2-2*((N$4-10)/10)^3))),0)</f>
        <v>1756</v>
      </c>
      <c r="O9" s="3" t="n">
        <f aca="false">ROUND(IF(O$4&lt;=10,$D9+($E9-$D9)*(0.5*((O$4-1)/9)+0.5*(3*((O$4-1)/9)^2-2*((O$4-1)/9)^3)),$E9+($F9-$E9)*(0.5*((O$4-10)/10)+0.5*(3*((O$4-10)/10)^2-2*((O$4-10)/10)^3))),0)</f>
        <v>1898</v>
      </c>
      <c r="P9" s="3" t="n">
        <f aca="false">ROUND(IF(P$4&lt;=10,$D9+($E9-$D9)*(0.5*((P$4-1)/9)+0.5*(3*((P$4-1)/9)^2-2*((P$4-1)/9)^3)),$E9+($F9-$E9)*(0.5*((P$4-10)/10)+0.5*(3*((P$4-10)/10)^2-2*((P$4-10)/10)^3))),0)</f>
        <v>2000</v>
      </c>
      <c r="Q9" s="3" t="n">
        <f aca="false">ROUND(IF(Q$4&lt;=10,$D9+($E9-$D9)*(0.5*((Q$4-1)/9)+0.5*(3*((Q$4-1)/9)^2-2*((Q$4-1)/9)^3)),$E9+($F9-$E9)*(0.5*((Q$4-10)/10)+0.5*(3*((Q$4-10)/10)^2-2*((Q$4-10)/10)^3))),0)</f>
        <v>2115</v>
      </c>
      <c r="R9" s="3" t="n">
        <f aca="false">ROUND(IF(R$4&lt;=10,$D9+($E9-$D9)*(0.5*((R$4-1)/9)+0.5*(3*((R$4-1)/9)^2-2*((R$4-1)/9)^3)),$E9+($F9-$E9)*(0.5*((R$4-10)/10)+0.5*(3*((R$4-10)/10)^2-2*((R$4-10)/10)^3))),0)</f>
        <v>2274</v>
      </c>
      <c r="S9" s="3" t="n">
        <f aca="false">ROUND(IF(S$4&lt;=10,$D9+($E9-$D9)*(0.5*((S$4-1)/9)+0.5*(3*((S$4-1)/9)^2-2*((S$4-1)/9)^3)),$E9+($F9-$E9)*(0.5*((S$4-10)/10)+0.5*(3*((S$4-10)/10)^2-2*((S$4-10)/10)^3))),0)</f>
        <v>2464</v>
      </c>
      <c r="T9" s="3" t="n">
        <f aca="false">ROUND(IF(T$4&lt;=10,$D9+($E9-$D9)*(0.5*((T$4-1)/9)+0.5*(3*((T$4-1)/9)^2-2*((T$4-1)/9)^3)),$E9+($F9-$E9)*(0.5*((T$4-10)/10)+0.5*(3*((T$4-10)/10)^2-2*((T$4-10)/10)^3))),0)</f>
        <v>2677</v>
      </c>
      <c r="U9" s="3" t="n">
        <f aca="false">ROUND(IF(U$4&lt;=10,$D9+($E9-$D9)*(0.5*((U$4-1)/9)+0.5*(3*((U$4-1)/9)^2-2*((U$4-1)/9)^3)),$E9+($F9-$E9)*(0.5*((U$4-10)/10)+0.5*(3*((U$4-10)/10)^2-2*((U$4-10)/10)^3))),0)</f>
        <v>2900</v>
      </c>
      <c r="V9" s="3" t="n">
        <f aca="false">ROUND(IF(V$4&lt;=10,$D9+($E9-$D9)*(0.5*((V$4-1)/9)+0.5*(3*((V$4-1)/9)^2-2*((V$4-1)/9)^3)),$E9+($F9-$E9)*(0.5*((V$4-10)/10)+0.5*(3*((V$4-10)/10)^2-2*((V$4-10)/10)^3))),0)</f>
        <v>3123</v>
      </c>
      <c r="W9" s="3" t="n">
        <f aca="false">ROUND(IF(W$4&lt;=10,$D9+($E9-$D9)*(0.5*((W$4-1)/9)+0.5*(3*((W$4-1)/9)^2-2*((W$4-1)/9)^3)),$E9+($F9-$E9)*(0.5*((W$4-10)/10)+0.5*(3*((W$4-10)/10)^2-2*((W$4-10)/10)^3))),0)</f>
        <v>3336</v>
      </c>
      <c r="X9" s="3" t="n">
        <f aca="false">ROUND(IF(X$4&lt;=10,$D9+($E9-$D9)*(0.5*((X$4-1)/9)+0.5*(3*((X$4-1)/9)^2-2*((X$4-1)/9)^3)),$E9+($F9-$E9)*(0.5*((X$4-10)/10)+0.5*(3*((X$4-10)/10)^2-2*((X$4-10)/10)^3))),0)</f>
        <v>3526</v>
      </c>
      <c r="Y9" s="3" t="n">
        <f aca="false">ROUND(IF(Y$4&lt;=10,$D9+($E9-$D9)*(0.5*((Y$4-1)/9)+0.5*(3*((Y$4-1)/9)^2-2*((Y$4-1)/9)^3)),$E9+($F9-$E9)*(0.5*((Y$4-10)/10)+0.5*(3*((Y$4-10)/10)^2-2*((Y$4-10)/10)^3))),0)</f>
        <v>3685</v>
      </c>
      <c r="Z9" s="3" t="n">
        <f aca="false">ROUND(IF(Z$4&lt;=10,$D9+($E9-$D9)*(0.5*((Z$4-1)/9)+0.5*(3*((Z$4-1)/9)^2-2*((Z$4-1)/9)^3)),$E9+($F9-$E9)*(0.5*((Z$4-10)/10)+0.5*(3*((Z$4-10)/10)^2-2*((Z$4-10)/10)^3))),0)</f>
        <v>3800</v>
      </c>
    </row>
    <row r="10" customFormat="false" ht="15" hidden="false" customHeight="true" outlineLevel="0" collapsed="false">
      <c r="A10" s="3" t="s">
        <v>58</v>
      </c>
      <c r="B10" s="3" t="s">
        <v>57</v>
      </c>
      <c r="C10" s="3" t="s">
        <v>51</v>
      </c>
      <c r="D10" s="5" t="n">
        <v>40</v>
      </c>
      <c r="E10" s="5" t="n">
        <v>130</v>
      </c>
      <c r="F10" s="5" t="n">
        <v>240</v>
      </c>
      <c r="G10" s="3" t="n">
        <f aca="false">ROUND(IF(G$4&lt;=10,$D10+($E10-$D10)*(0.5*((G$4-1)/9)+0.5*(3*((G$4-1)/9)^2-2*((G$4-1)/9)^3)),$E10+($F10-$E10)*(0.5*((G$4-10)/10)+0.5*(3*((G$4-10)/10)^2-2*((G$4-10)/10)^3))),0)</f>
        <v>40</v>
      </c>
      <c r="H10" s="3" t="n">
        <f aca="false">ROUND(IF(H$4&lt;=10,$D10+($E10-$D10)*(0.5*((H$4-1)/9)+0.5*(3*((H$4-1)/9)^2-2*((H$4-1)/9)^3)),$E10+($F10-$E10)*(0.5*((H$4-10)/10)+0.5*(3*((H$4-10)/10)^2-2*((H$4-10)/10)^3))),0)</f>
        <v>47</v>
      </c>
      <c r="I10" s="3" t="n">
        <f aca="false">ROUND(IF(I$4&lt;=10,$D10+($E10-$D10)*(0.5*((I$4-1)/9)+0.5*(3*((I$4-1)/9)^2-2*((I$4-1)/9)^3)),$E10+($F10-$E10)*(0.5*((I$4-10)/10)+0.5*(3*((I$4-10)/10)^2-2*((I$4-10)/10)^3))),0)</f>
        <v>56</v>
      </c>
      <c r="J10" s="3" t="n">
        <f aca="false">ROUND(IF(J$4&lt;=10,$D10+($E10-$D10)*(0.5*((J$4-1)/9)+0.5*(3*((J$4-1)/9)^2-2*((J$4-1)/9)^3)),$E10+($F10-$E10)*(0.5*((J$4-10)/10)+0.5*(3*((J$4-10)/10)^2-2*((J$4-10)/10)^3))),0)</f>
        <v>67</v>
      </c>
      <c r="K10" s="3" t="n">
        <f aca="false">ROUND(IF(K$4&lt;=10,$D10+($E10-$D10)*(0.5*((K$4-1)/9)+0.5*(3*((K$4-1)/9)^2-2*((K$4-1)/9)^3)),$E10+($F10-$E10)*(0.5*((K$4-10)/10)+0.5*(3*((K$4-10)/10)^2-2*((K$4-10)/10)^3))),0)</f>
        <v>79</v>
      </c>
      <c r="L10" s="3" t="n">
        <f aca="false">ROUND(IF(L$4&lt;=10,$D10+($E10-$D10)*(0.5*((L$4-1)/9)+0.5*(3*((L$4-1)/9)^2-2*((L$4-1)/9)^3)),$E10+($F10-$E10)*(0.5*((L$4-10)/10)+0.5*(3*((L$4-10)/10)^2-2*((L$4-10)/10)^3))),0)</f>
        <v>91</v>
      </c>
      <c r="M10" s="3" t="n">
        <f aca="false">ROUND(IF(M$4&lt;=10,$D10+($E10-$D10)*(0.5*((M$4-1)/9)+0.5*(3*((M$4-1)/9)^2-2*((M$4-1)/9)^3)),$E10+($F10-$E10)*(0.5*((M$4-10)/10)+0.5*(3*((M$4-10)/10)^2-2*((M$4-10)/10)^3))),0)</f>
        <v>103</v>
      </c>
      <c r="N10" s="3" t="n">
        <f aca="false">ROUND(IF(N$4&lt;=10,$D10+($E10-$D10)*(0.5*((N$4-1)/9)+0.5*(3*((N$4-1)/9)^2-2*((N$4-1)/9)^3)),$E10+($F10-$E10)*(0.5*((N$4-10)/10)+0.5*(3*((N$4-10)/10)^2-2*((N$4-10)/10)^3))),0)</f>
        <v>114</v>
      </c>
      <c r="O10" s="3" t="n">
        <f aca="false">ROUND(IF(O$4&lt;=10,$D10+($E10-$D10)*(0.5*((O$4-1)/9)+0.5*(3*((O$4-1)/9)^2-2*((O$4-1)/9)^3)),$E10+($F10-$E10)*(0.5*((O$4-10)/10)+0.5*(3*((O$4-10)/10)^2-2*((O$4-10)/10)^3))),0)</f>
        <v>123</v>
      </c>
      <c r="P10" s="3" t="n">
        <f aca="false">ROUND(IF(P$4&lt;=10,$D10+($E10-$D10)*(0.5*((P$4-1)/9)+0.5*(3*((P$4-1)/9)^2-2*((P$4-1)/9)^3)),$E10+($F10-$E10)*(0.5*((P$4-10)/10)+0.5*(3*((P$4-10)/10)^2-2*((P$4-10)/10)^3))),0)</f>
        <v>130</v>
      </c>
      <c r="Q10" s="3" t="n">
        <f aca="false">ROUND(IF(Q$4&lt;=10,$D10+($E10-$D10)*(0.5*((Q$4-1)/9)+0.5*(3*((Q$4-1)/9)^2-2*((Q$4-1)/9)^3)),$E10+($F10-$E10)*(0.5*((Q$4-10)/10)+0.5*(3*((Q$4-10)/10)^2-2*((Q$4-10)/10)^3))),0)</f>
        <v>137</v>
      </c>
      <c r="R10" s="3" t="n">
        <f aca="false">ROUND(IF(R$4&lt;=10,$D10+($E10-$D10)*(0.5*((R$4-1)/9)+0.5*(3*((R$4-1)/9)^2-2*((R$4-1)/9)^3)),$E10+($F10-$E10)*(0.5*((R$4-10)/10)+0.5*(3*((R$4-10)/10)^2-2*((R$4-10)/10)^3))),0)</f>
        <v>147</v>
      </c>
      <c r="S10" s="3" t="n">
        <f aca="false">ROUND(IF(S$4&lt;=10,$D10+($E10-$D10)*(0.5*((S$4-1)/9)+0.5*(3*((S$4-1)/9)^2-2*((S$4-1)/9)^3)),$E10+($F10-$E10)*(0.5*((S$4-10)/10)+0.5*(3*((S$4-10)/10)^2-2*((S$4-10)/10)^3))),0)</f>
        <v>158</v>
      </c>
      <c r="T10" s="3" t="n">
        <f aca="false">ROUND(IF(T$4&lt;=10,$D10+($E10-$D10)*(0.5*((T$4-1)/9)+0.5*(3*((T$4-1)/9)^2-2*((T$4-1)/9)^3)),$E10+($F10-$E10)*(0.5*((T$4-10)/10)+0.5*(3*((T$4-10)/10)^2-2*((T$4-10)/10)^3))),0)</f>
        <v>171</v>
      </c>
      <c r="U10" s="3" t="n">
        <f aca="false">ROUND(IF(U$4&lt;=10,$D10+($E10-$D10)*(0.5*((U$4-1)/9)+0.5*(3*((U$4-1)/9)^2-2*((U$4-1)/9)^3)),$E10+($F10-$E10)*(0.5*((U$4-10)/10)+0.5*(3*((U$4-10)/10)^2-2*((U$4-10)/10)^3))),0)</f>
        <v>185</v>
      </c>
      <c r="V10" s="3" t="n">
        <f aca="false">ROUND(IF(V$4&lt;=10,$D10+($E10-$D10)*(0.5*((V$4-1)/9)+0.5*(3*((V$4-1)/9)^2-2*((V$4-1)/9)^3)),$E10+($F10-$E10)*(0.5*((V$4-10)/10)+0.5*(3*((V$4-10)/10)^2-2*((V$4-10)/10)^3))),0)</f>
        <v>199</v>
      </c>
      <c r="W10" s="3" t="n">
        <f aca="false">ROUND(IF(W$4&lt;=10,$D10+($E10-$D10)*(0.5*((W$4-1)/9)+0.5*(3*((W$4-1)/9)^2-2*((W$4-1)/9)^3)),$E10+($F10-$E10)*(0.5*((W$4-10)/10)+0.5*(3*((W$4-10)/10)^2-2*((W$4-10)/10)^3))),0)</f>
        <v>212</v>
      </c>
      <c r="X10" s="3" t="n">
        <f aca="false">ROUND(IF(X$4&lt;=10,$D10+($E10-$D10)*(0.5*((X$4-1)/9)+0.5*(3*((X$4-1)/9)^2-2*((X$4-1)/9)^3)),$E10+($F10-$E10)*(0.5*((X$4-10)/10)+0.5*(3*((X$4-10)/10)^2-2*((X$4-10)/10)^3))),0)</f>
        <v>223</v>
      </c>
      <c r="Y10" s="3" t="n">
        <f aca="false">ROUND(IF(Y$4&lt;=10,$D10+($E10-$D10)*(0.5*((Y$4-1)/9)+0.5*(3*((Y$4-1)/9)^2-2*((Y$4-1)/9)^3)),$E10+($F10-$E10)*(0.5*((Y$4-10)/10)+0.5*(3*((Y$4-10)/10)^2-2*((Y$4-10)/10)^3))),0)</f>
        <v>233</v>
      </c>
      <c r="Z10" s="3" t="n">
        <f aca="false">ROUND(IF(Z$4&lt;=10,$D10+($E10-$D10)*(0.5*((Z$4-1)/9)+0.5*(3*((Z$4-1)/9)^2-2*((Z$4-1)/9)^3)),$E10+($F10-$E10)*(0.5*((Z$4-10)/10)+0.5*(3*((Z$4-10)/10)^2-2*((Z$4-10)/10)^3))),0)</f>
        <v>240</v>
      </c>
    </row>
    <row r="11" customFormat="false" ht="15" hidden="false" customHeight="true" outlineLevel="0" collapsed="false">
      <c r="A11" s="3" t="s">
        <v>59</v>
      </c>
      <c r="B11" s="3" t="s">
        <v>57</v>
      </c>
      <c r="C11" s="3" t="s">
        <v>53</v>
      </c>
      <c r="D11" s="5" t="n">
        <v>100</v>
      </c>
      <c r="E11" s="5" t="n">
        <v>105</v>
      </c>
      <c r="F11" s="5" t="n">
        <v>110</v>
      </c>
      <c r="G11" s="3" t="n">
        <f aca="false">ROUND(IF(G$4&lt;=10,$D11+($E11-$D11)*(0.5*((G$4-1)/9)+0.5*(3*((G$4-1)/9)^2-2*((G$4-1)/9)^3)),$E11+($F11-$E11)*(0.5*((G$4-10)/10)+0.5*(3*((G$4-10)/10)^2-2*((G$4-10)/10)^3))),0)</f>
        <v>100</v>
      </c>
      <c r="H11" s="3" t="n">
        <f aca="false">ROUND(IF(H$4&lt;=10,$D11+($E11-$D11)*(0.5*((H$4-1)/9)+0.5*(3*((H$4-1)/9)^2-2*((H$4-1)/9)^3)),$E11+($F11-$E11)*(0.5*((H$4-10)/10)+0.5*(3*((H$4-10)/10)^2-2*((H$4-10)/10)^3))),0)</f>
        <v>100</v>
      </c>
      <c r="I11" s="3" t="n">
        <f aca="false">ROUND(IF(I$4&lt;=10,$D11+($E11-$D11)*(0.5*((I$4-1)/9)+0.5*(3*((I$4-1)/9)^2-2*((I$4-1)/9)^3)),$E11+($F11-$E11)*(0.5*((I$4-10)/10)+0.5*(3*((I$4-10)/10)^2-2*((I$4-10)/10)^3))),0)</f>
        <v>101</v>
      </c>
      <c r="J11" s="3" t="n">
        <f aca="false">ROUND(IF(J$4&lt;=10,$D11+($E11-$D11)*(0.5*((J$4-1)/9)+0.5*(3*((J$4-1)/9)^2-2*((J$4-1)/9)^3)),$E11+($F11-$E11)*(0.5*((J$4-10)/10)+0.5*(3*((J$4-10)/10)^2-2*((J$4-10)/10)^3))),0)</f>
        <v>101</v>
      </c>
      <c r="K11" s="3" t="n">
        <f aca="false">ROUND(IF(K$4&lt;=10,$D11+($E11-$D11)*(0.5*((K$4-1)/9)+0.5*(3*((K$4-1)/9)^2-2*((K$4-1)/9)^3)),$E11+($F11-$E11)*(0.5*((K$4-10)/10)+0.5*(3*((K$4-10)/10)^2-2*((K$4-10)/10)^3))),0)</f>
        <v>102</v>
      </c>
      <c r="L11" s="3" t="n">
        <f aca="false">ROUND(IF(L$4&lt;=10,$D11+($E11-$D11)*(0.5*((L$4-1)/9)+0.5*(3*((L$4-1)/9)^2-2*((L$4-1)/9)^3)),$E11+($F11-$E11)*(0.5*((L$4-10)/10)+0.5*(3*((L$4-10)/10)^2-2*((L$4-10)/10)^3))),0)</f>
        <v>103</v>
      </c>
      <c r="M11" s="3" t="n">
        <f aca="false">ROUND(IF(M$4&lt;=10,$D11+($E11-$D11)*(0.5*((M$4-1)/9)+0.5*(3*((M$4-1)/9)^2-2*((M$4-1)/9)^3)),$E11+($F11-$E11)*(0.5*((M$4-10)/10)+0.5*(3*((M$4-10)/10)^2-2*((M$4-10)/10)^3))),0)</f>
        <v>104</v>
      </c>
      <c r="N11" s="3" t="n">
        <f aca="false">ROUND(IF(N$4&lt;=10,$D11+($E11-$D11)*(0.5*((N$4-1)/9)+0.5*(3*((N$4-1)/9)^2-2*((N$4-1)/9)^3)),$E11+($F11-$E11)*(0.5*((N$4-10)/10)+0.5*(3*((N$4-10)/10)^2-2*((N$4-10)/10)^3))),0)</f>
        <v>104</v>
      </c>
      <c r="O11" s="3" t="n">
        <f aca="false">ROUND(IF(O$4&lt;=10,$D11+($E11-$D11)*(0.5*((O$4-1)/9)+0.5*(3*((O$4-1)/9)^2-2*((O$4-1)/9)^3)),$E11+($F11-$E11)*(0.5*((O$4-10)/10)+0.5*(3*((O$4-10)/10)^2-2*((O$4-10)/10)^3))),0)</f>
        <v>105</v>
      </c>
      <c r="P11" s="3" t="n">
        <f aca="false">ROUND(IF(P$4&lt;=10,$D11+($E11-$D11)*(0.5*((P$4-1)/9)+0.5*(3*((P$4-1)/9)^2-2*((P$4-1)/9)^3)),$E11+($F11-$E11)*(0.5*((P$4-10)/10)+0.5*(3*((P$4-10)/10)^2-2*((P$4-10)/10)^3))),0)</f>
        <v>105</v>
      </c>
      <c r="Q11" s="3" t="n">
        <f aca="false">ROUND(IF(Q$4&lt;=10,$D11+($E11-$D11)*(0.5*((Q$4-1)/9)+0.5*(3*((Q$4-1)/9)^2-2*((Q$4-1)/9)^3)),$E11+($F11-$E11)*(0.5*((Q$4-10)/10)+0.5*(3*((Q$4-10)/10)^2-2*((Q$4-10)/10)^3))),0)</f>
        <v>105</v>
      </c>
      <c r="R11" s="3" t="n">
        <f aca="false">ROUND(IF(R$4&lt;=10,$D11+($E11-$D11)*(0.5*((R$4-1)/9)+0.5*(3*((R$4-1)/9)^2-2*((R$4-1)/9)^3)),$E11+($F11-$E11)*(0.5*((R$4-10)/10)+0.5*(3*((R$4-10)/10)^2-2*((R$4-10)/10)^3))),0)</f>
        <v>106</v>
      </c>
      <c r="S11" s="3" t="n">
        <f aca="false">ROUND(IF(S$4&lt;=10,$D11+($E11-$D11)*(0.5*((S$4-1)/9)+0.5*(3*((S$4-1)/9)^2-2*((S$4-1)/9)^3)),$E11+($F11-$E11)*(0.5*((S$4-10)/10)+0.5*(3*((S$4-10)/10)^2-2*((S$4-10)/10)^3))),0)</f>
        <v>106</v>
      </c>
      <c r="T11" s="3" t="n">
        <f aca="false">ROUND(IF(T$4&lt;=10,$D11+($E11-$D11)*(0.5*((T$4-1)/9)+0.5*(3*((T$4-1)/9)^2-2*((T$4-1)/9)^3)),$E11+($F11-$E11)*(0.5*((T$4-10)/10)+0.5*(3*((T$4-10)/10)^2-2*((T$4-10)/10)^3))),0)</f>
        <v>107</v>
      </c>
      <c r="U11" s="3" t="n">
        <f aca="false">ROUND(IF(U$4&lt;=10,$D11+($E11-$D11)*(0.5*((U$4-1)/9)+0.5*(3*((U$4-1)/9)^2-2*((U$4-1)/9)^3)),$E11+($F11-$E11)*(0.5*((U$4-10)/10)+0.5*(3*((U$4-10)/10)^2-2*((U$4-10)/10)^3))),0)</f>
        <v>108</v>
      </c>
      <c r="V11" s="3" t="n">
        <f aca="false">ROUND(IF(V$4&lt;=10,$D11+($E11-$D11)*(0.5*((V$4-1)/9)+0.5*(3*((V$4-1)/9)^2-2*((V$4-1)/9)^3)),$E11+($F11-$E11)*(0.5*((V$4-10)/10)+0.5*(3*((V$4-10)/10)^2-2*((V$4-10)/10)^3))),0)</f>
        <v>108</v>
      </c>
      <c r="W11" s="3" t="n">
        <f aca="false">ROUND(IF(W$4&lt;=10,$D11+($E11-$D11)*(0.5*((W$4-1)/9)+0.5*(3*((W$4-1)/9)^2-2*((W$4-1)/9)^3)),$E11+($F11-$E11)*(0.5*((W$4-10)/10)+0.5*(3*((W$4-10)/10)^2-2*((W$4-10)/10)^3))),0)</f>
        <v>109</v>
      </c>
      <c r="X11" s="3" t="n">
        <f aca="false">ROUND(IF(X$4&lt;=10,$D11+($E11-$D11)*(0.5*((X$4-1)/9)+0.5*(3*((X$4-1)/9)^2-2*((X$4-1)/9)^3)),$E11+($F11-$E11)*(0.5*((X$4-10)/10)+0.5*(3*((X$4-10)/10)^2-2*((X$4-10)/10)^3))),0)</f>
        <v>109</v>
      </c>
      <c r="Y11" s="3" t="n">
        <f aca="false">ROUND(IF(Y$4&lt;=10,$D11+($E11-$D11)*(0.5*((Y$4-1)/9)+0.5*(3*((Y$4-1)/9)^2-2*((Y$4-1)/9)^3)),$E11+($F11-$E11)*(0.5*((Y$4-10)/10)+0.5*(3*((Y$4-10)/10)^2-2*((Y$4-10)/10)^3))),0)</f>
        <v>110</v>
      </c>
      <c r="Z11" s="3" t="n">
        <f aca="false">ROUND(IF(Z$4&lt;=10,$D11+($E11-$D11)*(0.5*((Z$4-1)/9)+0.5*(3*((Z$4-1)/9)^2-2*((Z$4-1)/9)^3)),$E11+($F11-$E11)*(0.5*((Z$4-10)/10)+0.5*(3*((Z$4-10)/10)^2-2*((Z$4-10)/10)^3))),0)</f>
        <v>110</v>
      </c>
    </row>
    <row r="12" customFormat="false" ht="15" hidden="false" customHeight="true" outlineLevel="0" collapsed="false">
      <c r="A12" s="3" t="s">
        <v>60</v>
      </c>
      <c r="B12" s="3" t="s">
        <v>57</v>
      </c>
      <c r="C12" s="3" t="s">
        <v>55</v>
      </c>
      <c r="D12" s="5" t="n">
        <v>10</v>
      </c>
      <c r="E12" s="5" t="n">
        <v>30</v>
      </c>
      <c r="F12" s="5" t="n">
        <v>50</v>
      </c>
      <c r="G12" s="3" t="n">
        <f aca="false">ROUND(IF(G$4&lt;=10,$D12+($E12-$D12)*(0.5*((G$4-1)/9)+0.5*(3*((G$4-1)/9)^2-2*((G$4-1)/9)^3)),$E12+($F12-$E12)*(0.5*((G$4-10)/10)+0.5*(3*((G$4-10)/10)^2-2*((G$4-10)/10)^3))),0)</f>
        <v>10</v>
      </c>
      <c r="H12" s="3" t="n">
        <f aca="false">ROUND(IF(H$4&lt;=10,$D12+($E12-$D12)*(0.5*((H$4-1)/9)+0.5*(3*((H$4-1)/9)^2-2*((H$4-1)/9)^3)),$E12+($F12-$E12)*(0.5*((H$4-10)/10)+0.5*(3*((H$4-10)/10)^2-2*((H$4-10)/10)^3))),0)</f>
        <v>11</v>
      </c>
      <c r="I12" s="3" t="n">
        <f aca="false">ROUND(IF(I$4&lt;=10,$D12+($E12-$D12)*(0.5*((I$4-1)/9)+0.5*(3*((I$4-1)/9)^2-2*((I$4-1)/9)^3)),$E12+($F12-$E12)*(0.5*((I$4-10)/10)+0.5*(3*((I$4-10)/10)^2-2*((I$4-10)/10)^3))),0)</f>
        <v>13</v>
      </c>
      <c r="J12" s="3" t="n">
        <f aca="false">ROUND(IF(J$4&lt;=10,$D12+($E12-$D12)*(0.5*((J$4-1)/9)+0.5*(3*((J$4-1)/9)^2-2*((J$4-1)/9)^3)),$E12+($F12-$E12)*(0.5*((J$4-10)/10)+0.5*(3*((J$4-10)/10)^2-2*((J$4-10)/10)^3))),0)</f>
        <v>16</v>
      </c>
      <c r="K12" s="3" t="n">
        <f aca="false">ROUND(IF(K$4&lt;=10,$D12+($E12-$D12)*(0.5*((K$4-1)/9)+0.5*(3*((K$4-1)/9)^2-2*((K$4-1)/9)^3)),$E12+($F12-$E12)*(0.5*((K$4-10)/10)+0.5*(3*((K$4-10)/10)^2-2*((K$4-10)/10)^3))),0)</f>
        <v>19</v>
      </c>
      <c r="L12" s="3" t="n">
        <f aca="false">ROUND(IF(L$4&lt;=10,$D12+($E12-$D12)*(0.5*((L$4-1)/9)+0.5*(3*((L$4-1)/9)^2-2*((L$4-1)/9)^3)),$E12+($F12-$E12)*(0.5*((L$4-10)/10)+0.5*(3*((L$4-10)/10)^2-2*((L$4-10)/10)^3))),0)</f>
        <v>21</v>
      </c>
      <c r="M12" s="3" t="n">
        <f aca="false">ROUND(IF(M$4&lt;=10,$D12+($E12-$D12)*(0.5*((M$4-1)/9)+0.5*(3*((M$4-1)/9)^2-2*((M$4-1)/9)^3)),$E12+($F12-$E12)*(0.5*((M$4-10)/10)+0.5*(3*((M$4-10)/10)^2-2*((M$4-10)/10)^3))),0)</f>
        <v>24</v>
      </c>
      <c r="N12" s="3" t="n">
        <f aca="false">ROUND(IF(N$4&lt;=10,$D12+($E12-$D12)*(0.5*((N$4-1)/9)+0.5*(3*((N$4-1)/9)^2-2*((N$4-1)/9)^3)),$E12+($F12-$E12)*(0.5*((N$4-10)/10)+0.5*(3*((N$4-10)/10)^2-2*((N$4-10)/10)^3))),0)</f>
        <v>27</v>
      </c>
      <c r="O12" s="3" t="n">
        <f aca="false">ROUND(IF(O$4&lt;=10,$D12+($E12-$D12)*(0.5*((O$4-1)/9)+0.5*(3*((O$4-1)/9)^2-2*((O$4-1)/9)^3)),$E12+($F12-$E12)*(0.5*((O$4-10)/10)+0.5*(3*((O$4-10)/10)^2-2*((O$4-10)/10)^3))),0)</f>
        <v>29</v>
      </c>
      <c r="P12" s="3" t="n">
        <f aca="false">ROUND(IF(P$4&lt;=10,$D12+($E12-$D12)*(0.5*((P$4-1)/9)+0.5*(3*((P$4-1)/9)^2-2*((P$4-1)/9)^3)),$E12+($F12-$E12)*(0.5*((P$4-10)/10)+0.5*(3*((P$4-10)/10)^2-2*((P$4-10)/10)^3))),0)</f>
        <v>30</v>
      </c>
      <c r="Q12" s="3" t="n">
        <f aca="false">ROUND(IF(Q$4&lt;=10,$D12+($E12-$D12)*(0.5*((Q$4-1)/9)+0.5*(3*((Q$4-1)/9)^2-2*((Q$4-1)/9)^3)),$E12+($F12-$E12)*(0.5*((Q$4-10)/10)+0.5*(3*((Q$4-10)/10)^2-2*((Q$4-10)/10)^3))),0)</f>
        <v>31</v>
      </c>
      <c r="R12" s="3" t="n">
        <f aca="false">ROUND(IF(R$4&lt;=10,$D12+($E12-$D12)*(0.5*((R$4-1)/9)+0.5*(3*((R$4-1)/9)^2-2*((R$4-1)/9)^3)),$E12+($F12-$E12)*(0.5*((R$4-10)/10)+0.5*(3*((R$4-10)/10)^2-2*((R$4-10)/10)^3))),0)</f>
        <v>33</v>
      </c>
      <c r="S12" s="3" t="n">
        <f aca="false">ROUND(IF(S$4&lt;=10,$D12+($E12-$D12)*(0.5*((S$4-1)/9)+0.5*(3*((S$4-1)/9)^2-2*((S$4-1)/9)^3)),$E12+($F12-$E12)*(0.5*((S$4-10)/10)+0.5*(3*((S$4-10)/10)^2-2*((S$4-10)/10)^3))),0)</f>
        <v>35</v>
      </c>
      <c r="T12" s="3" t="n">
        <f aca="false">ROUND(IF(T$4&lt;=10,$D12+($E12-$D12)*(0.5*((T$4-1)/9)+0.5*(3*((T$4-1)/9)^2-2*((T$4-1)/9)^3)),$E12+($F12-$E12)*(0.5*((T$4-10)/10)+0.5*(3*((T$4-10)/10)^2-2*((T$4-10)/10)^3))),0)</f>
        <v>38</v>
      </c>
      <c r="U12" s="3" t="n">
        <f aca="false">ROUND(IF(U$4&lt;=10,$D12+($E12-$D12)*(0.5*((U$4-1)/9)+0.5*(3*((U$4-1)/9)^2-2*((U$4-1)/9)^3)),$E12+($F12-$E12)*(0.5*((U$4-10)/10)+0.5*(3*((U$4-10)/10)^2-2*((U$4-10)/10)^3))),0)</f>
        <v>40</v>
      </c>
      <c r="V12" s="3" t="n">
        <f aca="false">ROUND(IF(V$4&lt;=10,$D12+($E12-$D12)*(0.5*((V$4-1)/9)+0.5*(3*((V$4-1)/9)^2-2*((V$4-1)/9)^3)),$E12+($F12-$E12)*(0.5*((V$4-10)/10)+0.5*(3*((V$4-10)/10)^2-2*((V$4-10)/10)^3))),0)</f>
        <v>42</v>
      </c>
      <c r="W12" s="3" t="n">
        <f aca="false">ROUND(IF(W$4&lt;=10,$D12+($E12-$D12)*(0.5*((W$4-1)/9)+0.5*(3*((W$4-1)/9)^2-2*((W$4-1)/9)^3)),$E12+($F12-$E12)*(0.5*((W$4-10)/10)+0.5*(3*((W$4-10)/10)^2-2*((W$4-10)/10)^3))),0)</f>
        <v>45</v>
      </c>
      <c r="X12" s="3" t="n">
        <f aca="false">ROUND(IF(X$4&lt;=10,$D12+($E12-$D12)*(0.5*((X$4-1)/9)+0.5*(3*((X$4-1)/9)^2-2*((X$4-1)/9)^3)),$E12+($F12-$E12)*(0.5*((X$4-10)/10)+0.5*(3*((X$4-10)/10)^2-2*((X$4-10)/10)^3))),0)</f>
        <v>47</v>
      </c>
      <c r="Y12" s="3" t="n">
        <f aca="false">ROUND(IF(Y$4&lt;=10,$D12+($E12-$D12)*(0.5*((Y$4-1)/9)+0.5*(3*((Y$4-1)/9)^2-2*((Y$4-1)/9)^3)),$E12+($F12-$E12)*(0.5*((Y$4-10)/10)+0.5*(3*((Y$4-10)/10)^2-2*((Y$4-10)/10)^3))),0)</f>
        <v>49</v>
      </c>
      <c r="Z12" s="3" t="n">
        <f aca="false">ROUND(IF(Z$4&lt;=10,$D12+($E12-$D12)*(0.5*((Z$4-1)/9)+0.5*(3*((Z$4-1)/9)^2-2*((Z$4-1)/9)^3)),$E12+($F12-$E12)*(0.5*((Z$4-10)/10)+0.5*(3*((Z$4-10)/10)^2-2*((Z$4-10)/10)^3))),0)</f>
        <v>50</v>
      </c>
    </row>
    <row r="13" customFormat="false" ht="15" hidden="false" customHeight="true" outlineLevel="0" collapsed="false">
      <c r="A13" s="3" t="s">
        <v>61</v>
      </c>
      <c r="B13" s="3" t="s">
        <v>62</v>
      </c>
      <c r="C13" s="3" t="s">
        <v>49</v>
      </c>
      <c r="D13" s="5" t="n">
        <v>600</v>
      </c>
      <c r="E13" s="5" t="n">
        <v>1800</v>
      </c>
      <c r="F13" s="10" t="n">
        <v>3400</v>
      </c>
      <c r="G13" s="3" t="n">
        <f aca="false">ROUND(IF(G$4&lt;=10,$D13+($E13-$D13)*(0.5*((G$4-1)/9)+0.5*(3*((G$4-1)/9)^2-2*((G$4-1)/9)^3)),$E13+($F13-$E13)*(0.5*((G$4-10)/10)+0.5*(3*((G$4-10)/10)^2-2*((G$4-10)/10)^3))),0)</f>
        <v>600</v>
      </c>
      <c r="H13" s="3" t="n">
        <f aca="false">ROUND(IF(H$4&lt;=10,$D13+($E13-$D13)*(0.5*((H$4-1)/9)+0.5*(3*((H$4-1)/9)^2-2*((H$4-1)/9)^3)),$E13+($F13-$E13)*(0.5*((H$4-10)/10)+0.5*(3*((H$4-10)/10)^2-2*((H$4-10)/10)^3))),0)</f>
        <v>687</v>
      </c>
      <c r="I13" s="3" t="n">
        <f aca="false">ROUND(IF(I$4&lt;=10,$D13+($E13-$D13)*(0.5*((I$4-1)/9)+0.5*(3*((I$4-1)/9)^2-2*((I$4-1)/9)^3)),$E13+($F13-$E13)*(0.5*((I$4-10)/10)+0.5*(3*((I$4-10)/10)^2-2*((I$4-10)/10)^3))),0)</f>
        <v>809</v>
      </c>
      <c r="J13" s="3" t="n">
        <f aca="false">ROUND(IF(J$4&lt;=10,$D13+($E13-$D13)*(0.5*((J$4-1)/9)+0.5*(3*((J$4-1)/9)^2-2*((J$4-1)/9)^3)),$E13+($F13-$E13)*(0.5*((J$4-10)/10)+0.5*(3*((J$4-10)/10)^2-2*((J$4-10)/10)^3))),0)</f>
        <v>956</v>
      </c>
      <c r="K13" s="3" t="n">
        <f aca="false">ROUND(IF(K$4&lt;=10,$D13+($E13-$D13)*(0.5*((K$4-1)/9)+0.5*(3*((K$4-1)/9)^2-2*((K$4-1)/9)^3)),$E13+($F13-$E13)*(0.5*((K$4-10)/10)+0.5*(3*((K$4-10)/10)^2-2*((K$4-10)/10)^3))),0)</f>
        <v>1117</v>
      </c>
      <c r="L13" s="3" t="n">
        <f aca="false">ROUND(IF(L$4&lt;=10,$D13+($E13-$D13)*(0.5*((L$4-1)/9)+0.5*(3*((L$4-1)/9)^2-2*((L$4-1)/9)^3)),$E13+($F13-$E13)*(0.5*((L$4-10)/10)+0.5*(3*((L$4-10)/10)^2-2*((L$4-10)/10)^3))),0)</f>
        <v>1283</v>
      </c>
      <c r="M13" s="3" t="n">
        <f aca="false">ROUND(IF(M$4&lt;=10,$D13+($E13-$D13)*(0.5*((M$4-1)/9)+0.5*(3*((M$4-1)/9)^2-2*((M$4-1)/9)^3)),$E13+($F13-$E13)*(0.5*((M$4-10)/10)+0.5*(3*((M$4-10)/10)^2-2*((M$4-10)/10)^3))),0)</f>
        <v>1444</v>
      </c>
      <c r="N13" s="3" t="n">
        <f aca="false">ROUND(IF(N$4&lt;=10,$D13+($E13-$D13)*(0.5*((N$4-1)/9)+0.5*(3*((N$4-1)/9)^2-2*((N$4-1)/9)^3)),$E13+($F13-$E13)*(0.5*((N$4-10)/10)+0.5*(3*((N$4-10)/10)^2-2*((N$4-10)/10)^3))),0)</f>
        <v>1591</v>
      </c>
      <c r="O13" s="3" t="n">
        <f aca="false">ROUND(IF(O$4&lt;=10,$D13+($E13-$D13)*(0.5*((O$4-1)/9)+0.5*(3*((O$4-1)/9)^2-2*((O$4-1)/9)^3)),$E13+($F13-$E13)*(0.5*((O$4-10)/10)+0.5*(3*((O$4-10)/10)^2-2*((O$4-10)/10)^3))),0)</f>
        <v>1713</v>
      </c>
      <c r="P13" s="3" t="n">
        <f aca="false">ROUND(IF(P$4&lt;=10,$D13+($E13-$D13)*(0.5*((P$4-1)/9)+0.5*(3*((P$4-1)/9)^2-2*((P$4-1)/9)^3)),$E13+($F13-$E13)*(0.5*((P$4-10)/10)+0.5*(3*((P$4-10)/10)^2-2*((P$4-10)/10)^3))),0)</f>
        <v>1800</v>
      </c>
      <c r="Q13" s="3" t="n">
        <f aca="false">ROUND(IF(Q$4&lt;=10,$D13+($E13-$D13)*(0.5*((Q$4-1)/9)+0.5*(3*((Q$4-1)/9)^2-2*((Q$4-1)/9)^3)),$E13+($F13-$E13)*(0.5*((Q$4-10)/10)+0.5*(3*((Q$4-10)/10)^2-2*((Q$4-10)/10)^3))),0)</f>
        <v>1902</v>
      </c>
      <c r="R13" s="3" t="n">
        <f aca="false">ROUND(IF(R$4&lt;=10,$D13+($E13-$D13)*(0.5*((R$4-1)/9)+0.5*(3*((R$4-1)/9)^2-2*((R$4-1)/9)^3)),$E13+($F13-$E13)*(0.5*((R$4-10)/10)+0.5*(3*((R$4-10)/10)^2-2*((R$4-10)/10)^3))),0)</f>
        <v>2043</v>
      </c>
      <c r="S13" s="3" t="n">
        <f aca="false">ROUND(IF(S$4&lt;=10,$D13+($E13-$D13)*(0.5*((S$4-1)/9)+0.5*(3*((S$4-1)/9)^2-2*((S$4-1)/9)^3)),$E13+($F13-$E13)*(0.5*((S$4-10)/10)+0.5*(3*((S$4-10)/10)^2-2*((S$4-10)/10)^3))),0)</f>
        <v>2213</v>
      </c>
      <c r="T13" s="3" t="n">
        <f aca="false">ROUND(IF(T$4&lt;=10,$D13+($E13-$D13)*(0.5*((T$4-1)/9)+0.5*(3*((T$4-1)/9)^2-2*((T$4-1)/9)^3)),$E13+($F13-$E13)*(0.5*((T$4-10)/10)+0.5*(3*((T$4-10)/10)^2-2*((T$4-10)/10)^3))),0)</f>
        <v>2402</v>
      </c>
      <c r="U13" s="3" t="n">
        <f aca="false">ROUND(IF(U$4&lt;=10,$D13+($E13-$D13)*(0.5*((U$4-1)/9)+0.5*(3*((U$4-1)/9)^2-2*((U$4-1)/9)^3)),$E13+($F13-$E13)*(0.5*((U$4-10)/10)+0.5*(3*((U$4-10)/10)^2-2*((U$4-10)/10)^3))),0)</f>
        <v>2600</v>
      </c>
      <c r="V13" s="3" t="n">
        <f aca="false">ROUND(IF(V$4&lt;=10,$D13+($E13-$D13)*(0.5*((V$4-1)/9)+0.5*(3*((V$4-1)/9)^2-2*((V$4-1)/9)^3)),$E13+($F13-$E13)*(0.5*((V$4-10)/10)+0.5*(3*((V$4-10)/10)^2-2*((V$4-10)/10)^3))),0)</f>
        <v>2798</v>
      </c>
      <c r="W13" s="3" t="n">
        <f aca="false">ROUND(IF(W$4&lt;=10,$D13+($E13-$D13)*(0.5*((W$4-1)/9)+0.5*(3*((W$4-1)/9)^2-2*((W$4-1)/9)^3)),$E13+($F13-$E13)*(0.5*((W$4-10)/10)+0.5*(3*((W$4-10)/10)^2-2*((W$4-10)/10)^3))),0)</f>
        <v>2987</v>
      </c>
      <c r="X13" s="3" t="n">
        <f aca="false">ROUND(IF(X$4&lt;=10,$D13+($E13-$D13)*(0.5*((X$4-1)/9)+0.5*(3*((X$4-1)/9)^2-2*((X$4-1)/9)^3)),$E13+($F13-$E13)*(0.5*((X$4-10)/10)+0.5*(3*((X$4-10)/10)^2-2*((X$4-10)/10)^3))),0)</f>
        <v>3157</v>
      </c>
      <c r="Y13" s="3" t="n">
        <f aca="false">ROUND(IF(Y$4&lt;=10,$D13+($E13-$D13)*(0.5*((Y$4-1)/9)+0.5*(3*((Y$4-1)/9)^2-2*((Y$4-1)/9)^3)),$E13+($F13-$E13)*(0.5*((Y$4-10)/10)+0.5*(3*((Y$4-10)/10)^2-2*((Y$4-10)/10)^3))),0)</f>
        <v>3298</v>
      </c>
      <c r="Z13" s="3" t="n">
        <f aca="false">ROUND(IF(Z$4&lt;=10,$D13+($E13-$D13)*(0.5*((Z$4-1)/9)+0.5*(3*((Z$4-1)/9)^2-2*((Z$4-1)/9)^3)),$E13+($F13-$E13)*(0.5*((Z$4-10)/10)+0.5*(3*((Z$4-10)/10)^2-2*((Z$4-10)/10)^3))),0)</f>
        <v>3400</v>
      </c>
    </row>
    <row r="14" customFormat="false" ht="15" hidden="false" customHeight="true" outlineLevel="0" collapsed="false">
      <c r="A14" s="3" t="s">
        <v>63</v>
      </c>
      <c r="B14" s="3" t="s">
        <v>62</v>
      </c>
      <c r="C14" s="3" t="s">
        <v>51</v>
      </c>
      <c r="D14" s="5" t="n">
        <v>40</v>
      </c>
      <c r="E14" s="5" t="n">
        <v>85</v>
      </c>
      <c r="F14" s="5" t="n">
        <v>150</v>
      </c>
      <c r="G14" s="3" t="n">
        <f aca="false">ROUND(IF(G$4&lt;=10,$D14+($E14-$D14)*(0.5*((G$4-1)/9)+0.5*(3*((G$4-1)/9)^2-2*((G$4-1)/9)^3)),$E14+($F14-$E14)*(0.5*((G$4-10)/10)+0.5*(3*((G$4-10)/10)^2-2*((G$4-10)/10)^3))),0)</f>
        <v>40</v>
      </c>
      <c r="H14" s="3" t="n">
        <f aca="false">ROUND(IF(H$4&lt;=10,$D14+($E14-$D14)*(0.5*((H$4-1)/9)+0.5*(3*((H$4-1)/9)^2-2*((H$4-1)/9)^3)),$E14+($F14-$E14)*(0.5*((H$4-10)/10)+0.5*(3*((H$4-10)/10)^2-2*((H$4-10)/10)^3))),0)</f>
        <v>43</v>
      </c>
      <c r="I14" s="3" t="n">
        <f aca="false">ROUND(IF(I$4&lt;=10,$D14+($E14-$D14)*(0.5*((I$4-1)/9)+0.5*(3*((I$4-1)/9)^2-2*((I$4-1)/9)^3)),$E14+($F14-$E14)*(0.5*((I$4-10)/10)+0.5*(3*((I$4-10)/10)^2-2*((I$4-10)/10)^3))),0)</f>
        <v>48</v>
      </c>
      <c r="J14" s="3" t="n">
        <f aca="false">ROUND(IF(J$4&lt;=10,$D14+($E14-$D14)*(0.5*((J$4-1)/9)+0.5*(3*((J$4-1)/9)^2-2*((J$4-1)/9)^3)),$E14+($F14-$E14)*(0.5*((J$4-10)/10)+0.5*(3*((J$4-10)/10)^2-2*((J$4-10)/10)^3))),0)</f>
        <v>53</v>
      </c>
      <c r="K14" s="3" t="n">
        <f aca="false">ROUND(IF(K$4&lt;=10,$D14+($E14-$D14)*(0.5*((K$4-1)/9)+0.5*(3*((K$4-1)/9)^2-2*((K$4-1)/9)^3)),$E14+($F14-$E14)*(0.5*((K$4-10)/10)+0.5*(3*((K$4-10)/10)^2-2*((K$4-10)/10)^3))),0)</f>
        <v>59</v>
      </c>
      <c r="L14" s="3" t="n">
        <f aca="false">ROUND(IF(L$4&lt;=10,$D14+($E14-$D14)*(0.5*((L$4-1)/9)+0.5*(3*((L$4-1)/9)^2-2*((L$4-1)/9)^3)),$E14+($F14-$E14)*(0.5*((L$4-10)/10)+0.5*(3*((L$4-10)/10)^2-2*((L$4-10)/10)^3))),0)</f>
        <v>66</v>
      </c>
      <c r="M14" s="3" t="n">
        <f aca="false">ROUND(IF(M$4&lt;=10,$D14+($E14-$D14)*(0.5*((M$4-1)/9)+0.5*(3*((M$4-1)/9)^2-2*((M$4-1)/9)^3)),$E14+($F14-$E14)*(0.5*((M$4-10)/10)+0.5*(3*((M$4-10)/10)^2-2*((M$4-10)/10)^3))),0)</f>
        <v>72</v>
      </c>
      <c r="N14" s="3" t="n">
        <f aca="false">ROUND(IF(N$4&lt;=10,$D14+($E14-$D14)*(0.5*((N$4-1)/9)+0.5*(3*((N$4-1)/9)^2-2*((N$4-1)/9)^3)),$E14+($F14-$E14)*(0.5*((N$4-10)/10)+0.5*(3*((N$4-10)/10)^2-2*((N$4-10)/10)^3))),0)</f>
        <v>77</v>
      </c>
      <c r="O14" s="3" t="n">
        <f aca="false">ROUND(IF(O$4&lt;=10,$D14+($E14-$D14)*(0.5*((O$4-1)/9)+0.5*(3*((O$4-1)/9)^2-2*((O$4-1)/9)^3)),$E14+($F14-$E14)*(0.5*((O$4-10)/10)+0.5*(3*((O$4-10)/10)^2-2*((O$4-10)/10)^3))),0)</f>
        <v>82</v>
      </c>
      <c r="P14" s="3" t="n">
        <f aca="false">ROUND(IF(P$4&lt;=10,$D14+($E14-$D14)*(0.5*((P$4-1)/9)+0.5*(3*((P$4-1)/9)^2-2*((P$4-1)/9)^3)),$E14+($F14-$E14)*(0.5*((P$4-10)/10)+0.5*(3*((P$4-10)/10)^2-2*((P$4-10)/10)^3))),0)</f>
        <v>85</v>
      </c>
      <c r="Q14" s="3" t="n">
        <f aca="false">ROUND(IF(Q$4&lt;=10,$D14+($E14-$D14)*(0.5*((Q$4-1)/9)+0.5*(3*((Q$4-1)/9)^2-2*((Q$4-1)/9)^3)),$E14+($F14-$E14)*(0.5*((Q$4-10)/10)+0.5*(3*((Q$4-10)/10)^2-2*((Q$4-10)/10)^3))),0)</f>
        <v>89</v>
      </c>
      <c r="R14" s="3" t="n">
        <f aca="false">ROUND(IF(R$4&lt;=10,$D14+($E14-$D14)*(0.5*((R$4-1)/9)+0.5*(3*((R$4-1)/9)^2-2*((R$4-1)/9)^3)),$E14+($F14-$E14)*(0.5*((R$4-10)/10)+0.5*(3*((R$4-10)/10)^2-2*((R$4-10)/10)^3))),0)</f>
        <v>95</v>
      </c>
      <c r="S14" s="3" t="n">
        <f aca="false">ROUND(IF(S$4&lt;=10,$D14+($E14-$D14)*(0.5*((S$4-1)/9)+0.5*(3*((S$4-1)/9)^2-2*((S$4-1)/9)^3)),$E14+($F14-$E14)*(0.5*((S$4-10)/10)+0.5*(3*((S$4-10)/10)^2-2*((S$4-10)/10)^3))),0)</f>
        <v>102</v>
      </c>
      <c r="T14" s="3" t="n">
        <f aca="false">ROUND(IF(T$4&lt;=10,$D14+($E14-$D14)*(0.5*((T$4-1)/9)+0.5*(3*((T$4-1)/9)^2-2*((T$4-1)/9)^3)),$E14+($F14-$E14)*(0.5*((T$4-10)/10)+0.5*(3*((T$4-10)/10)^2-2*((T$4-10)/10)^3))),0)</f>
        <v>109</v>
      </c>
      <c r="U14" s="3" t="n">
        <f aca="false">ROUND(IF(U$4&lt;=10,$D14+($E14-$D14)*(0.5*((U$4-1)/9)+0.5*(3*((U$4-1)/9)^2-2*((U$4-1)/9)^3)),$E14+($F14-$E14)*(0.5*((U$4-10)/10)+0.5*(3*((U$4-10)/10)^2-2*((U$4-10)/10)^3))),0)</f>
        <v>118</v>
      </c>
      <c r="V14" s="3" t="n">
        <f aca="false">ROUND(IF(V$4&lt;=10,$D14+($E14-$D14)*(0.5*((V$4-1)/9)+0.5*(3*((V$4-1)/9)^2-2*((V$4-1)/9)^3)),$E14+($F14-$E14)*(0.5*((V$4-10)/10)+0.5*(3*((V$4-10)/10)^2-2*((V$4-10)/10)^3))),0)</f>
        <v>126</v>
      </c>
      <c r="W14" s="3" t="n">
        <f aca="false">ROUND(IF(W$4&lt;=10,$D14+($E14-$D14)*(0.5*((W$4-1)/9)+0.5*(3*((W$4-1)/9)^2-2*((W$4-1)/9)^3)),$E14+($F14-$E14)*(0.5*((W$4-10)/10)+0.5*(3*((W$4-10)/10)^2-2*((W$4-10)/10)^3))),0)</f>
        <v>133</v>
      </c>
      <c r="X14" s="3" t="n">
        <f aca="false">ROUND(IF(X$4&lt;=10,$D14+($E14-$D14)*(0.5*((X$4-1)/9)+0.5*(3*((X$4-1)/9)^2-2*((X$4-1)/9)^3)),$E14+($F14-$E14)*(0.5*((X$4-10)/10)+0.5*(3*((X$4-10)/10)^2-2*((X$4-10)/10)^3))),0)</f>
        <v>140</v>
      </c>
      <c r="Y14" s="3" t="n">
        <f aca="false">ROUND(IF(Y$4&lt;=10,$D14+($E14-$D14)*(0.5*((Y$4-1)/9)+0.5*(3*((Y$4-1)/9)^2-2*((Y$4-1)/9)^3)),$E14+($F14-$E14)*(0.5*((Y$4-10)/10)+0.5*(3*((Y$4-10)/10)^2-2*((Y$4-10)/10)^3))),0)</f>
        <v>146</v>
      </c>
      <c r="Z14" s="3" t="n">
        <f aca="false">ROUND(IF(Z$4&lt;=10,$D14+($E14-$D14)*(0.5*((Z$4-1)/9)+0.5*(3*((Z$4-1)/9)^2-2*((Z$4-1)/9)^3)),$E14+($F14-$E14)*(0.5*((Z$4-10)/10)+0.5*(3*((Z$4-10)/10)^2-2*((Z$4-10)/10)^3))),0)</f>
        <v>150</v>
      </c>
    </row>
    <row r="15" customFormat="false" ht="15" hidden="false" customHeight="true" outlineLevel="0" collapsed="false">
      <c r="A15" s="3" t="s">
        <v>64</v>
      </c>
      <c r="B15" s="3" t="s">
        <v>62</v>
      </c>
      <c r="C15" s="3" t="s">
        <v>53</v>
      </c>
      <c r="D15" s="5" t="n">
        <v>100</v>
      </c>
      <c r="E15" s="5" t="n">
        <v>95</v>
      </c>
      <c r="F15" s="5" t="n">
        <v>95</v>
      </c>
      <c r="G15" s="3" t="n">
        <f aca="false">ROUND(IF(G$4&lt;=10,$D15+($E15-$D15)*(0.5*((G$4-1)/9)+0.5*(3*((G$4-1)/9)^2-2*((G$4-1)/9)^3)),$E15+($F15-$E15)*(0.5*((G$4-10)/10)+0.5*(3*((G$4-10)/10)^2-2*((G$4-10)/10)^3))),0)</f>
        <v>100</v>
      </c>
      <c r="H15" s="3" t="n">
        <f aca="false">ROUND(IF(H$4&lt;=10,$D15+($E15-$D15)*(0.5*((H$4-1)/9)+0.5*(3*((H$4-1)/9)^2-2*((H$4-1)/9)^3)),$E15+($F15-$E15)*(0.5*((H$4-10)/10)+0.5*(3*((H$4-10)/10)^2-2*((H$4-10)/10)^3))),0)</f>
        <v>100</v>
      </c>
      <c r="I15" s="3" t="n">
        <f aca="false">ROUND(IF(I$4&lt;=10,$D15+($E15-$D15)*(0.5*((I$4-1)/9)+0.5*(3*((I$4-1)/9)^2-2*((I$4-1)/9)^3)),$E15+($F15-$E15)*(0.5*((I$4-10)/10)+0.5*(3*((I$4-10)/10)^2-2*((I$4-10)/10)^3))),0)</f>
        <v>99</v>
      </c>
      <c r="J15" s="3" t="n">
        <f aca="false">ROUND(IF(J$4&lt;=10,$D15+($E15-$D15)*(0.5*((J$4-1)/9)+0.5*(3*((J$4-1)/9)^2-2*((J$4-1)/9)^3)),$E15+($F15-$E15)*(0.5*((J$4-10)/10)+0.5*(3*((J$4-10)/10)^2-2*((J$4-10)/10)^3))),0)</f>
        <v>99</v>
      </c>
      <c r="K15" s="3" t="n">
        <f aca="false">ROUND(IF(K$4&lt;=10,$D15+($E15-$D15)*(0.5*((K$4-1)/9)+0.5*(3*((K$4-1)/9)^2-2*((K$4-1)/9)^3)),$E15+($F15-$E15)*(0.5*((K$4-10)/10)+0.5*(3*((K$4-10)/10)^2-2*((K$4-10)/10)^3))),0)</f>
        <v>98</v>
      </c>
      <c r="L15" s="3" t="n">
        <f aca="false">ROUND(IF(L$4&lt;=10,$D15+($E15-$D15)*(0.5*((L$4-1)/9)+0.5*(3*((L$4-1)/9)^2-2*((L$4-1)/9)^3)),$E15+($F15-$E15)*(0.5*((L$4-10)/10)+0.5*(3*((L$4-10)/10)^2-2*((L$4-10)/10)^3))),0)</f>
        <v>97</v>
      </c>
      <c r="M15" s="3" t="n">
        <f aca="false">ROUND(IF(M$4&lt;=10,$D15+($E15-$D15)*(0.5*((M$4-1)/9)+0.5*(3*((M$4-1)/9)^2-2*((M$4-1)/9)^3)),$E15+($F15-$E15)*(0.5*((M$4-10)/10)+0.5*(3*((M$4-10)/10)^2-2*((M$4-10)/10)^3))),0)</f>
        <v>96</v>
      </c>
      <c r="N15" s="3" t="n">
        <f aca="false">ROUND(IF(N$4&lt;=10,$D15+($E15-$D15)*(0.5*((N$4-1)/9)+0.5*(3*((N$4-1)/9)^2-2*((N$4-1)/9)^3)),$E15+($F15-$E15)*(0.5*((N$4-10)/10)+0.5*(3*((N$4-10)/10)^2-2*((N$4-10)/10)^3))),0)</f>
        <v>96</v>
      </c>
      <c r="O15" s="3" t="n">
        <f aca="false">ROUND(IF(O$4&lt;=10,$D15+($E15-$D15)*(0.5*((O$4-1)/9)+0.5*(3*((O$4-1)/9)^2-2*((O$4-1)/9)^3)),$E15+($F15-$E15)*(0.5*((O$4-10)/10)+0.5*(3*((O$4-10)/10)^2-2*((O$4-10)/10)^3))),0)</f>
        <v>95</v>
      </c>
      <c r="P15" s="3" t="n">
        <f aca="false">ROUND(IF(P$4&lt;=10,$D15+($E15-$D15)*(0.5*((P$4-1)/9)+0.5*(3*((P$4-1)/9)^2-2*((P$4-1)/9)^3)),$E15+($F15-$E15)*(0.5*((P$4-10)/10)+0.5*(3*((P$4-10)/10)^2-2*((P$4-10)/10)^3))),0)</f>
        <v>95</v>
      </c>
      <c r="Q15" s="3" t="n">
        <f aca="false">ROUND(IF(Q$4&lt;=10,$D15+($E15-$D15)*(0.5*((Q$4-1)/9)+0.5*(3*((Q$4-1)/9)^2-2*((Q$4-1)/9)^3)),$E15+($F15-$E15)*(0.5*((Q$4-10)/10)+0.5*(3*((Q$4-10)/10)^2-2*((Q$4-10)/10)^3))),0)</f>
        <v>95</v>
      </c>
      <c r="R15" s="3" t="n">
        <f aca="false">ROUND(IF(R$4&lt;=10,$D15+($E15-$D15)*(0.5*((R$4-1)/9)+0.5*(3*((R$4-1)/9)^2-2*((R$4-1)/9)^3)),$E15+($F15-$E15)*(0.5*((R$4-10)/10)+0.5*(3*((R$4-10)/10)^2-2*((R$4-10)/10)^3))),0)</f>
        <v>95</v>
      </c>
      <c r="S15" s="3" t="n">
        <f aca="false">ROUND(IF(S$4&lt;=10,$D15+($E15-$D15)*(0.5*((S$4-1)/9)+0.5*(3*((S$4-1)/9)^2-2*((S$4-1)/9)^3)),$E15+($F15-$E15)*(0.5*((S$4-10)/10)+0.5*(3*((S$4-10)/10)^2-2*((S$4-10)/10)^3))),0)</f>
        <v>95</v>
      </c>
      <c r="T15" s="3" t="n">
        <f aca="false">ROUND(IF(T$4&lt;=10,$D15+($E15-$D15)*(0.5*((T$4-1)/9)+0.5*(3*((T$4-1)/9)^2-2*((T$4-1)/9)^3)),$E15+($F15-$E15)*(0.5*((T$4-10)/10)+0.5*(3*((T$4-10)/10)^2-2*((T$4-10)/10)^3))),0)</f>
        <v>95</v>
      </c>
      <c r="U15" s="3" t="n">
        <f aca="false">ROUND(IF(U$4&lt;=10,$D15+($E15-$D15)*(0.5*((U$4-1)/9)+0.5*(3*((U$4-1)/9)^2-2*((U$4-1)/9)^3)),$E15+($F15-$E15)*(0.5*((U$4-10)/10)+0.5*(3*((U$4-10)/10)^2-2*((U$4-10)/10)^3))),0)</f>
        <v>95</v>
      </c>
      <c r="V15" s="3" t="n">
        <f aca="false">ROUND(IF(V$4&lt;=10,$D15+($E15-$D15)*(0.5*((V$4-1)/9)+0.5*(3*((V$4-1)/9)^2-2*((V$4-1)/9)^3)),$E15+($F15-$E15)*(0.5*((V$4-10)/10)+0.5*(3*((V$4-10)/10)^2-2*((V$4-10)/10)^3))),0)</f>
        <v>95</v>
      </c>
      <c r="W15" s="3" t="n">
        <f aca="false">ROUND(IF(W$4&lt;=10,$D15+($E15-$D15)*(0.5*((W$4-1)/9)+0.5*(3*((W$4-1)/9)^2-2*((W$4-1)/9)^3)),$E15+($F15-$E15)*(0.5*((W$4-10)/10)+0.5*(3*((W$4-10)/10)^2-2*((W$4-10)/10)^3))),0)</f>
        <v>95</v>
      </c>
      <c r="X15" s="3" t="n">
        <f aca="false">ROUND(IF(X$4&lt;=10,$D15+($E15-$D15)*(0.5*((X$4-1)/9)+0.5*(3*((X$4-1)/9)^2-2*((X$4-1)/9)^3)),$E15+($F15-$E15)*(0.5*((X$4-10)/10)+0.5*(3*((X$4-10)/10)^2-2*((X$4-10)/10)^3))),0)</f>
        <v>95</v>
      </c>
      <c r="Y15" s="3" t="n">
        <f aca="false">ROUND(IF(Y$4&lt;=10,$D15+($E15-$D15)*(0.5*((Y$4-1)/9)+0.5*(3*((Y$4-1)/9)^2-2*((Y$4-1)/9)^3)),$E15+($F15-$E15)*(0.5*((Y$4-10)/10)+0.5*(3*((Y$4-10)/10)^2-2*((Y$4-10)/10)^3))),0)</f>
        <v>95</v>
      </c>
      <c r="Z15" s="3" t="n">
        <f aca="false">ROUND(IF(Z$4&lt;=10,$D15+($E15-$D15)*(0.5*((Z$4-1)/9)+0.5*(3*((Z$4-1)/9)^2-2*((Z$4-1)/9)^3)),$E15+($F15-$E15)*(0.5*((Z$4-10)/10)+0.5*(3*((Z$4-10)/10)^2-2*((Z$4-10)/10)^3))),0)</f>
        <v>95</v>
      </c>
    </row>
    <row r="16" customFormat="false" ht="15" hidden="false" customHeight="true" outlineLevel="0" collapsed="false">
      <c r="A16" s="3" t="s">
        <v>65</v>
      </c>
      <c r="B16" s="3" t="s">
        <v>62</v>
      </c>
      <c r="C16" s="3" t="s">
        <v>55</v>
      </c>
      <c r="D16" s="5" t="n">
        <v>10</v>
      </c>
      <c r="E16" s="5" t="n">
        <v>60</v>
      </c>
      <c r="F16" s="5" t="n">
        <v>110</v>
      </c>
      <c r="G16" s="3" t="n">
        <f aca="false">ROUND(IF(G$4&lt;=10,$D16+($E16-$D16)*(0.5*((G$4-1)/9)+0.5*(3*((G$4-1)/9)^2-2*((G$4-1)/9)^3)),$E16+($F16-$E16)*(0.5*((G$4-10)/10)+0.5*(3*((G$4-10)/10)^2-2*((G$4-10)/10)^3))),0)</f>
        <v>10</v>
      </c>
      <c r="H16" s="3" t="n">
        <f aca="false">ROUND(IF(H$4&lt;=10,$D16+($E16-$D16)*(0.5*((H$4-1)/9)+0.5*(3*((H$4-1)/9)^2-2*((H$4-1)/9)^3)),$E16+($F16-$E16)*(0.5*((H$4-10)/10)+0.5*(3*((H$4-10)/10)^2-2*((H$4-10)/10)^3))),0)</f>
        <v>14</v>
      </c>
      <c r="I16" s="3" t="n">
        <f aca="false">ROUND(IF(I$4&lt;=10,$D16+($E16-$D16)*(0.5*((I$4-1)/9)+0.5*(3*((I$4-1)/9)^2-2*((I$4-1)/9)^3)),$E16+($F16-$E16)*(0.5*((I$4-10)/10)+0.5*(3*((I$4-10)/10)^2-2*((I$4-10)/10)^3))),0)</f>
        <v>19</v>
      </c>
      <c r="J16" s="3" t="n">
        <f aca="false">ROUND(IF(J$4&lt;=10,$D16+($E16-$D16)*(0.5*((J$4-1)/9)+0.5*(3*((J$4-1)/9)^2-2*((J$4-1)/9)^3)),$E16+($F16-$E16)*(0.5*((J$4-10)/10)+0.5*(3*((J$4-10)/10)^2-2*((J$4-10)/10)^3))),0)</f>
        <v>25</v>
      </c>
      <c r="K16" s="3" t="n">
        <f aca="false">ROUND(IF(K$4&lt;=10,$D16+($E16-$D16)*(0.5*((K$4-1)/9)+0.5*(3*((K$4-1)/9)^2-2*((K$4-1)/9)^3)),$E16+($F16-$E16)*(0.5*((K$4-10)/10)+0.5*(3*((K$4-10)/10)^2-2*((K$4-10)/10)^3))),0)</f>
        <v>32</v>
      </c>
      <c r="L16" s="3" t="n">
        <f aca="false">ROUND(IF(L$4&lt;=10,$D16+($E16-$D16)*(0.5*((L$4-1)/9)+0.5*(3*((L$4-1)/9)^2-2*((L$4-1)/9)^3)),$E16+($F16-$E16)*(0.5*((L$4-10)/10)+0.5*(3*((L$4-10)/10)^2-2*((L$4-10)/10)^3))),0)</f>
        <v>38</v>
      </c>
      <c r="M16" s="3" t="n">
        <f aca="false">ROUND(IF(M$4&lt;=10,$D16+($E16-$D16)*(0.5*((M$4-1)/9)+0.5*(3*((M$4-1)/9)^2-2*((M$4-1)/9)^3)),$E16+($F16-$E16)*(0.5*((M$4-10)/10)+0.5*(3*((M$4-10)/10)^2-2*((M$4-10)/10)^3))),0)</f>
        <v>45</v>
      </c>
      <c r="N16" s="3" t="n">
        <f aca="false">ROUND(IF(N$4&lt;=10,$D16+($E16-$D16)*(0.5*((N$4-1)/9)+0.5*(3*((N$4-1)/9)^2-2*((N$4-1)/9)^3)),$E16+($F16-$E16)*(0.5*((N$4-10)/10)+0.5*(3*((N$4-10)/10)^2-2*((N$4-10)/10)^3))),0)</f>
        <v>51</v>
      </c>
      <c r="O16" s="3" t="n">
        <f aca="false">ROUND(IF(O$4&lt;=10,$D16+($E16-$D16)*(0.5*((O$4-1)/9)+0.5*(3*((O$4-1)/9)^2-2*((O$4-1)/9)^3)),$E16+($F16-$E16)*(0.5*((O$4-10)/10)+0.5*(3*((O$4-10)/10)^2-2*((O$4-10)/10)^3))),0)</f>
        <v>56</v>
      </c>
      <c r="P16" s="3" t="n">
        <f aca="false">ROUND(IF(P$4&lt;=10,$D16+($E16-$D16)*(0.5*((P$4-1)/9)+0.5*(3*((P$4-1)/9)^2-2*((P$4-1)/9)^3)),$E16+($F16-$E16)*(0.5*((P$4-10)/10)+0.5*(3*((P$4-10)/10)^2-2*((P$4-10)/10)^3))),0)</f>
        <v>60</v>
      </c>
      <c r="Q16" s="3" t="n">
        <f aca="false">ROUND(IF(Q$4&lt;=10,$D16+($E16-$D16)*(0.5*((Q$4-1)/9)+0.5*(3*((Q$4-1)/9)^2-2*((Q$4-1)/9)^3)),$E16+($F16-$E16)*(0.5*((Q$4-10)/10)+0.5*(3*((Q$4-10)/10)^2-2*((Q$4-10)/10)^3))),0)</f>
        <v>63</v>
      </c>
      <c r="R16" s="3" t="n">
        <f aca="false">ROUND(IF(R$4&lt;=10,$D16+($E16-$D16)*(0.5*((R$4-1)/9)+0.5*(3*((R$4-1)/9)^2-2*((R$4-1)/9)^3)),$E16+($F16-$E16)*(0.5*((R$4-10)/10)+0.5*(3*((R$4-10)/10)^2-2*((R$4-10)/10)^3))),0)</f>
        <v>68</v>
      </c>
      <c r="S16" s="3" t="n">
        <f aca="false">ROUND(IF(S$4&lt;=10,$D16+($E16-$D16)*(0.5*((S$4-1)/9)+0.5*(3*((S$4-1)/9)^2-2*((S$4-1)/9)^3)),$E16+($F16-$E16)*(0.5*((S$4-10)/10)+0.5*(3*((S$4-10)/10)^2-2*((S$4-10)/10)^3))),0)</f>
        <v>73</v>
      </c>
      <c r="T16" s="3" t="n">
        <f aca="false">ROUND(IF(T$4&lt;=10,$D16+($E16-$D16)*(0.5*((T$4-1)/9)+0.5*(3*((T$4-1)/9)^2-2*((T$4-1)/9)^3)),$E16+($F16-$E16)*(0.5*((T$4-10)/10)+0.5*(3*((T$4-10)/10)^2-2*((T$4-10)/10)^3))),0)</f>
        <v>79</v>
      </c>
      <c r="U16" s="3" t="n">
        <f aca="false">ROUND(IF(U$4&lt;=10,$D16+($E16-$D16)*(0.5*((U$4-1)/9)+0.5*(3*((U$4-1)/9)^2-2*((U$4-1)/9)^3)),$E16+($F16-$E16)*(0.5*((U$4-10)/10)+0.5*(3*((U$4-10)/10)^2-2*((U$4-10)/10)^3))),0)</f>
        <v>85</v>
      </c>
      <c r="V16" s="3" t="n">
        <f aca="false">ROUND(IF(V$4&lt;=10,$D16+($E16-$D16)*(0.5*((V$4-1)/9)+0.5*(3*((V$4-1)/9)^2-2*((V$4-1)/9)^3)),$E16+($F16-$E16)*(0.5*((V$4-10)/10)+0.5*(3*((V$4-10)/10)^2-2*((V$4-10)/10)^3))),0)</f>
        <v>91</v>
      </c>
      <c r="W16" s="3" t="n">
        <f aca="false">ROUND(IF(W$4&lt;=10,$D16+($E16-$D16)*(0.5*((W$4-1)/9)+0.5*(3*((W$4-1)/9)^2-2*((W$4-1)/9)^3)),$E16+($F16-$E16)*(0.5*((W$4-10)/10)+0.5*(3*((W$4-10)/10)^2-2*((W$4-10)/10)^3))),0)</f>
        <v>97</v>
      </c>
      <c r="X16" s="3" t="n">
        <f aca="false">ROUND(IF(X$4&lt;=10,$D16+($E16-$D16)*(0.5*((X$4-1)/9)+0.5*(3*((X$4-1)/9)^2-2*((X$4-1)/9)^3)),$E16+($F16-$E16)*(0.5*((X$4-10)/10)+0.5*(3*((X$4-10)/10)^2-2*((X$4-10)/10)^3))),0)</f>
        <v>102</v>
      </c>
      <c r="Y16" s="3" t="n">
        <f aca="false">ROUND(IF(Y$4&lt;=10,$D16+($E16-$D16)*(0.5*((Y$4-1)/9)+0.5*(3*((Y$4-1)/9)^2-2*((Y$4-1)/9)^3)),$E16+($F16-$E16)*(0.5*((Y$4-10)/10)+0.5*(3*((Y$4-10)/10)^2-2*((Y$4-10)/10)^3))),0)</f>
        <v>107</v>
      </c>
      <c r="Z16" s="3" t="n">
        <f aca="false">ROUND(IF(Z$4&lt;=10,$D16+($E16-$D16)*(0.5*((Z$4-1)/9)+0.5*(3*((Z$4-1)/9)^2-2*((Z$4-1)/9)^3)),$E16+($F16-$E16)*(0.5*((Z$4-10)/10)+0.5*(3*((Z$4-10)/10)^2-2*((Z$4-10)/10)^3))),0)</f>
        <v>110</v>
      </c>
    </row>
    <row r="17" customFormat="false" ht="15" hidden="false" customHeight="true" outlineLevel="0" collapsed="false">
      <c r="A17" s="3" t="s">
        <v>66</v>
      </c>
      <c r="B17" s="3" t="s">
        <v>67</v>
      </c>
      <c r="C17" s="3" t="s">
        <v>49</v>
      </c>
      <c r="D17" s="5" t="n">
        <v>600</v>
      </c>
      <c r="E17" s="5" t="n">
        <v>1600</v>
      </c>
      <c r="F17" s="10" t="n">
        <v>3000</v>
      </c>
      <c r="G17" s="3" t="n">
        <f aca="false">ROUND(IF(G$4&lt;=10,$D17+($E17-$D17)*(0.5*((G$4-1)/9)+0.5*(3*((G$4-1)/9)^2-2*((G$4-1)/9)^3)),$E17+($F17-$E17)*(0.5*((G$4-10)/10)+0.5*(3*((G$4-10)/10)^2-2*((G$4-10)/10)^3))),0)</f>
        <v>600</v>
      </c>
      <c r="H17" s="3" t="n">
        <f aca="false">ROUND(IF(H$4&lt;=10,$D17+($E17-$D17)*(0.5*((H$4-1)/9)+0.5*(3*((H$4-1)/9)^2-2*((H$4-1)/9)^3)),$E17+($F17-$E17)*(0.5*((H$4-10)/10)+0.5*(3*((H$4-10)/10)^2-2*((H$4-10)/10)^3))),0)</f>
        <v>673</v>
      </c>
      <c r="I17" s="3" t="n">
        <f aca="false">ROUND(IF(I$4&lt;=10,$D17+($E17-$D17)*(0.5*((I$4-1)/9)+0.5*(3*((I$4-1)/9)^2-2*((I$4-1)/9)^3)),$E17+($F17-$E17)*(0.5*((I$4-10)/10)+0.5*(3*((I$4-10)/10)^2-2*((I$4-10)/10)^3))),0)</f>
        <v>774</v>
      </c>
      <c r="J17" s="3" t="n">
        <f aca="false">ROUND(IF(J$4&lt;=10,$D17+($E17-$D17)*(0.5*((J$4-1)/9)+0.5*(3*((J$4-1)/9)^2-2*((J$4-1)/9)^3)),$E17+($F17-$E17)*(0.5*((J$4-10)/10)+0.5*(3*((J$4-10)/10)^2-2*((J$4-10)/10)^3))),0)</f>
        <v>896</v>
      </c>
      <c r="K17" s="3" t="n">
        <f aca="false">ROUND(IF(K$4&lt;=10,$D17+($E17-$D17)*(0.5*((K$4-1)/9)+0.5*(3*((K$4-1)/9)^2-2*((K$4-1)/9)^3)),$E17+($F17-$E17)*(0.5*((K$4-10)/10)+0.5*(3*((K$4-10)/10)^2-2*((K$4-10)/10)^3))),0)</f>
        <v>1031</v>
      </c>
      <c r="L17" s="3" t="n">
        <f aca="false">ROUND(IF(L$4&lt;=10,$D17+($E17-$D17)*(0.5*((L$4-1)/9)+0.5*(3*((L$4-1)/9)^2-2*((L$4-1)/9)^3)),$E17+($F17-$E17)*(0.5*((L$4-10)/10)+0.5*(3*((L$4-10)/10)^2-2*((L$4-10)/10)^3))),0)</f>
        <v>1169</v>
      </c>
      <c r="M17" s="3" t="n">
        <f aca="false">ROUND(IF(M$4&lt;=10,$D17+($E17-$D17)*(0.5*((M$4-1)/9)+0.5*(3*((M$4-1)/9)^2-2*((M$4-1)/9)^3)),$E17+($F17-$E17)*(0.5*((M$4-10)/10)+0.5*(3*((M$4-10)/10)^2-2*((M$4-10)/10)^3))),0)</f>
        <v>1304</v>
      </c>
      <c r="N17" s="3" t="n">
        <f aca="false">ROUND(IF(N$4&lt;=10,$D17+($E17-$D17)*(0.5*((N$4-1)/9)+0.5*(3*((N$4-1)/9)^2-2*((N$4-1)/9)^3)),$E17+($F17-$E17)*(0.5*((N$4-10)/10)+0.5*(3*((N$4-10)/10)^2-2*((N$4-10)/10)^3))),0)</f>
        <v>1426</v>
      </c>
      <c r="O17" s="3" t="n">
        <f aca="false">ROUND(IF(O$4&lt;=10,$D17+($E17-$D17)*(0.5*((O$4-1)/9)+0.5*(3*((O$4-1)/9)^2-2*((O$4-1)/9)^3)),$E17+($F17-$E17)*(0.5*((O$4-10)/10)+0.5*(3*((O$4-10)/10)^2-2*((O$4-10)/10)^3))),0)</f>
        <v>1527</v>
      </c>
      <c r="P17" s="3" t="n">
        <f aca="false">ROUND(IF(P$4&lt;=10,$D17+($E17-$D17)*(0.5*((P$4-1)/9)+0.5*(3*((P$4-1)/9)^2-2*((P$4-1)/9)^3)),$E17+($F17-$E17)*(0.5*((P$4-10)/10)+0.5*(3*((P$4-10)/10)^2-2*((P$4-10)/10)^3))),0)</f>
        <v>1600</v>
      </c>
      <c r="Q17" s="3" t="n">
        <f aca="false">ROUND(IF(Q$4&lt;=10,$D17+($E17-$D17)*(0.5*((Q$4-1)/9)+0.5*(3*((Q$4-1)/9)^2-2*((Q$4-1)/9)^3)),$E17+($F17-$E17)*(0.5*((Q$4-10)/10)+0.5*(3*((Q$4-10)/10)^2-2*((Q$4-10)/10)^3))),0)</f>
        <v>1690</v>
      </c>
      <c r="R17" s="3" t="n">
        <f aca="false">ROUND(IF(R$4&lt;=10,$D17+($E17-$D17)*(0.5*((R$4-1)/9)+0.5*(3*((R$4-1)/9)^2-2*((R$4-1)/9)^3)),$E17+($F17-$E17)*(0.5*((R$4-10)/10)+0.5*(3*((R$4-10)/10)^2-2*((R$4-10)/10)^3))),0)</f>
        <v>1813</v>
      </c>
      <c r="S17" s="3" t="n">
        <f aca="false">ROUND(IF(S$4&lt;=10,$D17+($E17-$D17)*(0.5*((S$4-1)/9)+0.5*(3*((S$4-1)/9)^2-2*((S$4-1)/9)^3)),$E17+($F17-$E17)*(0.5*((S$4-10)/10)+0.5*(3*((S$4-10)/10)^2-2*((S$4-10)/10)^3))),0)</f>
        <v>1961</v>
      </c>
      <c r="T17" s="3" t="n">
        <f aca="false">ROUND(IF(T$4&lt;=10,$D17+($E17-$D17)*(0.5*((T$4-1)/9)+0.5*(3*((T$4-1)/9)^2-2*((T$4-1)/9)^3)),$E17+($F17-$E17)*(0.5*((T$4-10)/10)+0.5*(3*((T$4-10)/10)^2-2*((T$4-10)/10)^3))),0)</f>
        <v>2126</v>
      </c>
      <c r="U17" s="3" t="n">
        <f aca="false">ROUND(IF(U$4&lt;=10,$D17+($E17-$D17)*(0.5*((U$4-1)/9)+0.5*(3*((U$4-1)/9)^2-2*((U$4-1)/9)^3)),$E17+($F17-$E17)*(0.5*((U$4-10)/10)+0.5*(3*((U$4-10)/10)^2-2*((U$4-10)/10)^3))),0)</f>
        <v>2300</v>
      </c>
      <c r="V17" s="3" t="n">
        <f aca="false">ROUND(IF(V$4&lt;=10,$D17+($E17-$D17)*(0.5*((V$4-1)/9)+0.5*(3*((V$4-1)/9)^2-2*((V$4-1)/9)^3)),$E17+($F17-$E17)*(0.5*((V$4-10)/10)+0.5*(3*((V$4-10)/10)^2-2*((V$4-10)/10)^3))),0)</f>
        <v>2474</v>
      </c>
      <c r="W17" s="3" t="n">
        <f aca="false">ROUND(IF(W$4&lt;=10,$D17+($E17-$D17)*(0.5*((W$4-1)/9)+0.5*(3*((W$4-1)/9)^2-2*((W$4-1)/9)^3)),$E17+($F17-$E17)*(0.5*((W$4-10)/10)+0.5*(3*((W$4-10)/10)^2-2*((W$4-10)/10)^3))),0)</f>
        <v>2639</v>
      </c>
      <c r="X17" s="3" t="n">
        <f aca="false">ROUND(IF(X$4&lt;=10,$D17+($E17-$D17)*(0.5*((X$4-1)/9)+0.5*(3*((X$4-1)/9)^2-2*((X$4-1)/9)^3)),$E17+($F17-$E17)*(0.5*((X$4-10)/10)+0.5*(3*((X$4-10)/10)^2-2*((X$4-10)/10)^3))),0)</f>
        <v>2787</v>
      </c>
      <c r="Y17" s="3" t="n">
        <f aca="false">ROUND(IF(Y$4&lt;=10,$D17+($E17-$D17)*(0.5*((Y$4-1)/9)+0.5*(3*((Y$4-1)/9)^2-2*((Y$4-1)/9)^3)),$E17+($F17-$E17)*(0.5*((Y$4-10)/10)+0.5*(3*((Y$4-10)/10)^2-2*((Y$4-10)/10)^3))),0)</f>
        <v>2910</v>
      </c>
      <c r="Z17" s="3" t="n">
        <f aca="false">ROUND(IF(Z$4&lt;=10,$D17+($E17-$D17)*(0.5*((Z$4-1)/9)+0.5*(3*((Z$4-1)/9)^2-2*((Z$4-1)/9)^3)),$E17+($F17-$E17)*(0.5*((Z$4-10)/10)+0.5*(3*((Z$4-10)/10)^2-2*((Z$4-10)/10)^3))),0)</f>
        <v>3000</v>
      </c>
    </row>
    <row r="18" customFormat="false" ht="15" hidden="false" customHeight="true" outlineLevel="0" collapsed="false">
      <c r="A18" s="3" t="s">
        <v>68</v>
      </c>
      <c r="B18" s="3" t="s">
        <v>67</v>
      </c>
      <c r="C18" s="3" t="s">
        <v>51</v>
      </c>
      <c r="D18" s="5" t="n">
        <v>40</v>
      </c>
      <c r="E18" s="5" t="n">
        <v>115</v>
      </c>
      <c r="F18" s="5" t="n">
        <v>210</v>
      </c>
      <c r="G18" s="3" t="n">
        <f aca="false">ROUND(IF(G$4&lt;=10,$D18+($E18-$D18)*(0.5*((G$4-1)/9)+0.5*(3*((G$4-1)/9)^2-2*((G$4-1)/9)^3)),$E18+($F18-$E18)*(0.5*((G$4-10)/10)+0.5*(3*((G$4-10)/10)^2-2*((G$4-10)/10)^3))),0)</f>
        <v>40</v>
      </c>
      <c r="H18" s="3" t="n">
        <f aca="false">ROUND(IF(H$4&lt;=10,$D18+($E18-$D18)*(0.5*((H$4-1)/9)+0.5*(3*((H$4-1)/9)^2-2*((H$4-1)/9)^3)),$E18+($F18-$E18)*(0.5*((H$4-10)/10)+0.5*(3*((H$4-10)/10)^2-2*((H$4-10)/10)^3))),0)</f>
        <v>45</v>
      </c>
      <c r="I18" s="3" t="n">
        <f aca="false">ROUND(IF(I$4&lt;=10,$D18+($E18-$D18)*(0.5*((I$4-1)/9)+0.5*(3*((I$4-1)/9)^2-2*((I$4-1)/9)^3)),$E18+($F18-$E18)*(0.5*((I$4-10)/10)+0.5*(3*((I$4-10)/10)^2-2*((I$4-10)/10)^3))),0)</f>
        <v>53</v>
      </c>
      <c r="J18" s="3" t="n">
        <f aca="false">ROUND(IF(J$4&lt;=10,$D18+($E18-$D18)*(0.5*((J$4-1)/9)+0.5*(3*((J$4-1)/9)^2-2*((J$4-1)/9)^3)),$E18+($F18-$E18)*(0.5*((J$4-10)/10)+0.5*(3*((J$4-10)/10)^2-2*((J$4-10)/10)^3))),0)</f>
        <v>62</v>
      </c>
      <c r="K18" s="3" t="n">
        <f aca="false">ROUND(IF(K$4&lt;=10,$D18+($E18-$D18)*(0.5*((K$4-1)/9)+0.5*(3*((K$4-1)/9)^2-2*((K$4-1)/9)^3)),$E18+($F18-$E18)*(0.5*((K$4-10)/10)+0.5*(3*((K$4-10)/10)^2-2*((K$4-10)/10)^3))),0)</f>
        <v>72</v>
      </c>
      <c r="L18" s="3" t="n">
        <f aca="false">ROUND(IF(L$4&lt;=10,$D18+($E18-$D18)*(0.5*((L$4-1)/9)+0.5*(3*((L$4-1)/9)^2-2*((L$4-1)/9)^3)),$E18+($F18-$E18)*(0.5*((L$4-10)/10)+0.5*(3*((L$4-10)/10)^2-2*((L$4-10)/10)^3))),0)</f>
        <v>83</v>
      </c>
      <c r="M18" s="3" t="n">
        <f aca="false">ROUND(IF(M$4&lt;=10,$D18+($E18-$D18)*(0.5*((M$4-1)/9)+0.5*(3*((M$4-1)/9)^2-2*((M$4-1)/9)^3)),$E18+($F18-$E18)*(0.5*((M$4-10)/10)+0.5*(3*((M$4-10)/10)^2-2*((M$4-10)/10)^3))),0)</f>
        <v>93</v>
      </c>
      <c r="N18" s="3" t="n">
        <f aca="false">ROUND(IF(N$4&lt;=10,$D18+($E18-$D18)*(0.5*((N$4-1)/9)+0.5*(3*((N$4-1)/9)^2-2*((N$4-1)/9)^3)),$E18+($F18-$E18)*(0.5*((N$4-10)/10)+0.5*(3*((N$4-10)/10)^2-2*((N$4-10)/10)^3))),0)</f>
        <v>102</v>
      </c>
      <c r="O18" s="3" t="n">
        <f aca="false">ROUND(IF(O$4&lt;=10,$D18+($E18-$D18)*(0.5*((O$4-1)/9)+0.5*(3*((O$4-1)/9)^2-2*((O$4-1)/9)^3)),$E18+($F18-$E18)*(0.5*((O$4-10)/10)+0.5*(3*((O$4-10)/10)^2-2*((O$4-10)/10)^3))),0)</f>
        <v>110</v>
      </c>
      <c r="P18" s="3" t="n">
        <f aca="false">ROUND(IF(P$4&lt;=10,$D18+($E18-$D18)*(0.5*((P$4-1)/9)+0.5*(3*((P$4-1)/9)^2-2*((P$4-1)/9)^3)),$E18+($F18-$E18)*(0.5*((P$4-10)/10)+0.5*(3*((P$4-10)/10)^2-2*((P$4-10)/10)^3))),0)</f>
        <v>115</v>
      </c>
      <c r="Q18" s="3" t="n">
        <f aca="false">ROUND(IF(Q$4&lt;=10,$D18+($E18-$D18)*(0.5*((Q$4-1)/9)+0.5*(3*((Q$4-1)/9)^2-2*((Q$4-1)/9)^3)),$E18+($F18-$E18)*(0.5*((Q$4-10)/10)+0.5*(3*((Q$4-10)/10)^2-2*((Q$4-10)/10)^3))),0)</f>
        <v>121</v>
      </c>
      <c r="R18" s="3" t="n">
        <f aca="false">ROUND(IF(R$4&lt;=10,$D18+($E18-$D18)*(0.5*((R$4-1)/9)+0.5*(3*((R$4-1)/9)^2-2*((R$4-1)/9)^3)),$E18+($F18-$E18)*(0.5*((R$4-10)/10)+0.5*(3*((R$4-10)/10)^2-2*((R$4-10)/10)^3))),0)</f>
        <v>129</v>
      </c>
      <c r="S18" s="3" t="n">
        <f aca="false">ROUND(IF(S$4&lt;=10,$D18+($E18-$D18)*(0.5*((S$4-1)/9)+0.5*(3*((S$4-1)/9)^2-2*((S$4-1)/9)^3)),$E18+($F18-$E18)*(0.5*((S$4-10)/10)+0.5*(3*((S$4-10)/10)^2-2*((S$4-10)/10)^3))),0)</f>
        <v>140</v>
      </c>
      <c r="T18" s="3" t="n">
        <f aca="false">ROUND(IF(T$4&lt;=10,$D18+($E18-$D18)*(0.5*((T$4-1)/9)+0.5*(3*((T$4-1)/9)^2-2*((T$4-1)/9)^3)),$E18+($F18-$E18)*(0.5*((T$4-10)/10)+0.5*(3*((T$4-10)/10)^2-2*((T$4-10)/10)^3))),0)</f>
        <v>151</v>
      </c>
      <c r="U18" s="3" t="n">
        <f aca="false">ROUND(IF(U$4&lt;=10,$D18+($E18-$D18)*(0.5*((U$4-1)/9)+0.5*(3*((U$4-1)/9)^2-2*((U$4-1)/9)^3)),$E18+($F18-$E18)*(0.5*((U$4-10)/10)+0.5*(3*((U$4-10)/10)^2-2*((U$4-10)/10)^3))),0)</f>
        <v>163</v>
      </c>
      <c r="V18" s="3" t="n">
        <f aca="false">ROUND(IF(V$4&lt;=10,$D18+($E18-$D18)*(0.5*((V$4-1)/9)+0.5*(3*((V$4-1)/9)^2-2*((V$4-1)/9)^3)),$E18+($F18-$E18)*(0.5*((V$4-10)/10)+0.5*(3*((V$4-10)/10)^2-2*((V$4-10)/10)^3))),0)</f>
        <v>174</v>
      </c>
      <c r="W18" s="3" t="n">
        <f aca="false">ROUND(IF(W$4&lt;=10,$D18+($E18-$D18)*(0.5*((W$4-1)/9)+0.5*(3*((W$4-1)/9)^2-2*((W$4-1)/9)^3)),$E18+($F18-$E18)*(0.5*((W$4-10)/10)+0.5*(3*((W$4-10)/10)^2-2*((W$4-10)/10)^3))),0)</f>
        <v>185</v>
      </c>
      <c r="X18" s="3" t="n">
        <f aca="false">ROUND(IF(X$4&lt;=10,$D18+($E18-$D18)*(0.5*((X$4-1)/9)+0.5*(3*((X$4-1)/9)^2-2*((X$4-1)/9)^3)),$E18+($F18-$E18)*(0.5*((X$4-10)/10)+0.5*(3*((X$4-10)/10)^2-2*((X$4-10)/10)^3))),0)</f>
        <v>196</v>
      </c>
      <c r="Y18" s="3" t="n">
        <f aca="false">ROUND(IF(Y$4&lt;=10,$D18+($E18-$D18)*(0.5*((Y$4-1)/9)+0.5*(3*((Y$4-1)/9)^2-2*((Y$4-1)/9)^3)),$E18+($F18-$E18)*(0.5*((Y$4-10)/10)+0.5*(3*((Y$4-10)/10)^2-2*((Y$4-10)/10)^3))),0)</f>
        <v>204</v>
      </c>
      <c r="Z18" s="3" t="n">
        <f aca="false">ROUND(IF(Z$4&lt;=10,$D18+($E18-$D18)*(0.5*((Z$4-1)/9)+0.5*(3*((Z$4-1)/9)^2-2*((Z$4-1)/9)^3)),$E18+($F18-$E18)*(0.5*((Z$4-10)/10)+0.5*(3*((Z$4-10)/10)^2-2*((Z$4-10)/10)^3))),0)</f>
        <v>210</v>
      </c>
    </row>
    <row r="19" customFormat="false" ht="15" hidden="false" customHeight="true" outlineLevel="0" collapsed="false">
      <c r="A19" s="3" t="s">
        <v>69</v>
      </c>
      <c r="B19" s="3" t="s">
        <v>67</v>
      </c>
      <c r="C19" s="3" t="s">
        <v>53</v>
      </c>
      <c r="D19" s="5" t="n">
        <v>100</v>
      </c>
      <c r="E19" s="5" t="n">
        <v>100</v>
      </c>
      <c r="F19" s="5" t="n">
        <v>100</v>
      </c>
      <c r="G19" s="3" t="n">
        <f aca="false">ROUND(IF(G$4&lt;=10,$D19+($E19-$D19)*(0.5*((G$4-1)/9)+0.5*(3*((G$4-1)/9)^2-2*((G$4-1)/9)^3)),$E19+($F19-$E19)*(0.5*((G$4-10)/10)+0.5*(3*((G$4-10)/10)^2-2*((G$4-10)/10)^3))),0)</f>
        <v>100</v>
      </c>
      <c r="H19" s="3" t="n">
        <f aca="false">ROUND(IF(H$4&lt;=10,$D19+($E19-$D19)*(0.5*((H$4-1)/9)+0.5*(3*((H$4-1)/9)^2-2*((H$4-1)/9)^3)),$E19+($F19-$E19)*(0.5*((H$4-10)/10)+0.5*(3*((H$4-10)/10)^2-2*((H$4-10)/10)^3))),0)</f>
        <v>100</v>
      </c>
      <c r="I19" s="3" t="n">
        <f aca="false">ROUND(IF(I$4&lt;=10,$D19+($E19-$D19)*(0.5*((I$4-1)/9)+0.5*(3*((I$4-1)/9)^2-2*((I$4-1)/9)^3)),$E19+($F19-$E19)*(0.5*((I$4-10)/10)+0.5*(3*((I$4-10)/10)^2-2*((I$4-10)/10)^3))),0)</f>
        <v>100</v>
      </c>
      <c r="J19" s="3" t="n">
        <f aca="false">ROUND(IF(J$4&lt;=10,$D19+($E19-$D19)*(0.5*((J$4-1)/9)+0.5*(3*((J$4-1)/9)^2-2*((J$4-1)/9)^3)),$E19+($F19-$E19)*(0.5*((J$4-10)/10)+0.5*(3*((J$4-10)/10)^2-2*((J$4-10)/10)^3))),0)</f>
        <v>100</v>
      </c>
      <c r="K19" s="3" t="n">
        <f aca="false">ROUND(IF(K$4&lt;=10,$D19+($E19-$D19)*(0.5*((K$4-1)/9)+0.5*(3*((K$4-1)/9)^2-2*((K$4-1)/9)^3)),$E19+($F19-$E19)*(0.5*((K$4-10)/10)+0.5*(3*((K$4-10)/10)^2-2*((K$4-10)/10)^3))),0)</f>
        <v>100</v>
      </c>
      <c r="L19" s="3" t="n">
        <f aca="false">ROUND(IF(L$4&lt;=10,$D19+($E19-$D19)*(0.5*((L$4-1)/9)+0.5*(3*((L$4-1)/9)^2-2*((L$4-1)/9)^3)),$E19+($F19-$E19)*(0.5*((L$4-10)/10)+0.5*(3*((L$4-10)/10)^2-2*((L$4-10)/10)^3))),0)</f>
        <v>100</v>
      </c>
      <c r="M19" s="3" t="n">
        <f aca="false">ROUND(IF(M$4&lt;=10,$D19+($E19-$D19)*(0.5*((M$4-1)/9)+0.5*(3*((M$4-1)/9)^2-2*((M$4-1)/9)^3)),$E19+($F19-$E19)*(0.5*((M$4-10)/10)+0.5*(3*((M$4-10)/10)^2-2*((M$4-10)/10)^3))),0)</f>
        <v>100</v>
      </c>
      <c r="N19" s="3" t="n">
        <f aca="false">ROUND(IF(N$4&lt;=10,$D19+($E19-$D19)*(0.5*((N$4-1)/9)+0.5*(3*((N$4-1)/9)^2-2*((N$4-1)/9)^3)),$E19+($F19-$E19)*(0.5*((N$4-10)/10)+0.5*(3*((N$4-10)/10)^2-2*((N$4-10)/10)^3))),0)</f>
        <v>100</v>
      </c>
      <c r="O19" s="3" t="n">
        <f aca="false">ROUND(IF(O$4&lt;=10,$D19+($E19-$D19)*(0.5*((O$4-1)/9)+0.5*(3*((O$4-1)/9)^2-2*((O$4-1)/9)^3)),$E19+($F19-$E19)*(0.5*((O$4-10)/10)+0.5*(3*((O$4-10)/10)^2-2*((O$4-10)/10)^3))),0)</f>
        <v>100</v>
      </c>
      <c r="P19" s="3" t="n">
        <f aca="false">ROUND(IF(P$4&lt;=10,$D19+($E19-$D19)*(0.5*((P$4-1)/9)+0.5*(3*((P$4-1)/9)^2-2*((P$4-1)/9)^3)),$E19+($F19-$E19)*(0.5*((P$4-10)/10)+0.5*(3*((P$4-10)/10)^2-2*((P$4-10)/10)^3))),0)</f>
        <v>100</v>
      </c>
      <c r="Q19" s="3" t="n">
        <f aca="false">ROUND(IF(Q$4&lt;=10,$D19+($E19-$D19)*(0.5*((Q$4-1)/9)+0.5*(3*((Q$4-1)/9)^2-2*((Q$4-1)/9)^3)),$E19+($F19-$E19)*(0.5*((Q$4-10)/10)+0.5*(3*((Q$4-10)/10)^2-2*((Q$4-10)/10)^3))),0)</f>
        <v>100</v>
      </c>
      <c r="R19" s="3" t="n">
        <f aca="false">ROUND(IF(R$4&lt;=10,$D19+($E19-$D19)*(0.5*((R$4-1)/9)+0.5*(3*((R$4-1)/9)^2-2*((R$4-1)/9)^3)),$E19+($F19-$E19)*(0.5*((R$4-10)/10)+0.5*(3*((R$4-10)/10)^2-2*((R$4-10)/10)^3))),0)</f>
        <v>100</v>
      </c>
      <c r="S19" s="3" t="n">
        <f aca="false">ROUND(IF(S$4&lt;=10,$D19+($E19-$D19)*(0.5*((S$4-1)/9)+0.5*(3*((S$4-1)/9)^2-2*((S$4-1)/9)^3)),$E19+($F19-$E19)*(0.5*((S$4-10)/10)+0.5*(3*((S$4-10)/10)^2-2*((S$4-10)/10)^3))),0)</f>
        <v>100</v>
      </c>
      <c r="T19" s="3" t="n">
        <f aca="false">ROUND(IF(T$4&lt;=10,$D19+($E19-$D19)*(0.5*((T$4-1)/9)+0.5*(3*((T$4-1)/9)^2-2*((T$4-1)/9)^3)),$E19+($F19-$E19)*(0.5*((T$4-10)/10)+0.5*(3*((T$4-10)/10)^2-2*((T$4-10)/10)^3))),0)</f>
        <v>100</v>
      </c>
      <c r="U19" s="3" t="n">
        <f aca="false">ROUND(IF(U$4&lt;=10,$D19+($E19-$D19)*(0.5*((U$4-1)/9)+0.5*(3*((U$4-1)/9)^2-2*((U$4-1)/9)^3)),$E19+($F19-$E19)*(0.5*((U$4-10)/10)+0.5*(3*((U$4-10)/10)^2-2*((U$4-10)/10)^3))),0)</f>
        <v>100</v>
      </c>
      <c r="V19" s="3" t="n">
        <f aca="false">ROUND(IF(V$4&lt;=10,$D19+($E19-$D19)*(0.5*((V$4-1)/9)+0.5*(3*((V$4-1)/9)^2-2*((V$4-1)/9)^3)),$E19+($F19-$E19)*(0.5*((V$4-10)/10)+0.5*(3*((V$4-10)/10)^2-2*((V$4-10)/10)^3))),0)</f>
        <v>100</v>
      </c>
      <c r="W19" s="3" t="n">
        <f aca="false">ROUND(IF(W$4&lt;=10,$D19+($E19-$D19)*(0.5*((W$4-1)/9)+0.5*(3*((W$4-1)/9)^2-2*((W$4-1)/9)^3)),$E19+($F19-$E19)*(0.5*((W$4-10)/10)+0.5*(3*((W$4-10)/10)^2-2*((W$4-10)/10)^3))),0)</f>
        <v>100</v>
      </c>
      <c r="X19" s="3" t="n">
        <f aca="false">ROUND(IF(X$4&lt;=10,$D19+($E19-$D19)*(0.5*((X$4-1)/9)+0.5*(3*((X$4-1)/9)^2-2*((X$4-1)/9)^3)),$E19+($F19-$E19)*(0.5*((X$4-10)/10)+0.5*(3*((X$4-10)/10)^2-2*((X$4-10)/10)^3))),0)</f>
        <v>100</v>
      </c>
      <c r="Y19" s="3" t="n">
        <f aca="false">ROUND(IF(Y$4&lt;=10,$D19+($E19-$D19)*(0.5*((Y$4-1)/9)+0.5*(3*((Y$4-1)/9)^2-2*((Y$4-1)/9)^3)),$E19+($F19-$E19)*(0.5*((Y$4-10)/10)+0.5*(3*((Y$4-10)/10)^2-2*((Y$4-10)/10)^3))),0)</f>
        <v>100</v>
      </c>
      <c r="Z19" s="3" t="n">
        <f aca="false">ROUND(IF(Z$4&lt;=10,$D19+($E19-$D19)*(0.5*((Z$4-1)/9)+0.5*(3*((Z$4-1)/9)^2-2*((Z$4-1)/9)^3)),$E19+($F19-$E19)*(0.5*((Z$4-10)/10)+0.5*(3*((Z$4-10)/10)^2-2*((Z$4-10)/10)^3))),0)</f>
        <v>100</v>
      </c>
    </row>
    <row r="20" customFormat="false" ht="15" hidden="false" customHeight="true" outlineLevel="0" collapsed="false">
      <c r="A20" s="3" t="s">
        <v>70</v>
      </c>
      <c r="B20" s="3" t="s">
        <v>67</v>
      </c>
      <c r="C20" s="3" t="s">
        <v>55</v>
      </c>
      <c r="D20" s="5" t="n">
        <v>10</v>
      </c>
      <c r="E20" s="5" t="n">
        <v>55</v>
      </c>
      <c r="F20" s="5" t="n">
        <v>100</v>
      </c>
      <c r="G20" s="3" t="n">
        <f aca="false">ROUND(IF(G$4&lt;=10,$D20+($E20-$D20)*(0.5*((G$4-1)/9)+0.5*(3*((G$4-1)/9)^2-2*((G$4-1)/9)^3)),$E20+($F20-$E20)*(0.5*((G$4-10)/10)+0.5*(3*((G$4-10)/10)^2-2*((G$4-10)/10)^3))),0)</f>
        <v>10</v>
      </c>
      <c r="H20" s="3" t="n">
        <f aca="false">ROUND(IF(H$4&lt;=10,$D20+($E20-$D20)*(0.5*((H$4-1)/9)+0.5*(3*((H$4-1)/9)^2-2*((H$4-1)/9)^3)),$E20+($F20-$E20)*(0.5*((H$4-10)/10)+0.5*(3*((H$4-10)/10)^2-2*((H$4-10)/10)^3))),0)</f>
        <v>13</v>
      </c>
      <c r="I20" s="3" t="n">
        <f aca="false">ROUND(IF(I$4&lt;=10,$D20+($E20-$D20)*(0.5*((I$4-1)/9)+0.5*(3*((I$4-1)/9)^2-2*((I$4-1)/9)^3)),$E20+($F20-$E20)*(0.5*((I$4-10)/10)+0.5*(3*((I$4-10)/10)^2-2*((I$4-10)/10)^3))),0)</f>
        <v>18</v>
      </c>
      <c r="J20" s="3" t="n">
        <f aca="false">ROUND(IF(J$4&lt;=10,$D20+($E20-$D20)*(0.5*((J$4-1)/9)+0.5*(3*((J$4-1)/9)^2-2*((J$4-1)/9)^3)),$E20+($F20-$E20)*(0.5*((J$4-10)/10)+0.5*(3*((J$4-10)/10)^2-2*((J$4-10)/10)^3))),0)</f>
        <v>23</v>
      </c>
      <c r="K20" s="3" t="n">
        <f aca="false">ROUND(IF(K$4&lt;=10,$D20+($E20-$D20)*(0.5*((K$4-1)/9)+0.5*(3*((K$4-1)/9)^2-2*((K$4-1)/9)^3)),$E20+($F20-$E20)*(0.5*((K$4-10)/10)+0.5*(3*((K$4-10)/10)^2-2*((K$4-10)/10)^3))),0)</f>
        <v>29</v>
      </c>
      <c r="L20" s="3" t="n">
        <f aca="false">ROUND(IF(L$4&lt;=10,$D20+($E20-$D20)*(0.5*((L$4-1)/9)+0.5*(3*((L$4-1)/9)^2-2*((L$4-1)/9)^3)),$E20+($F20-$E20)*(0.5*((L$4-10)/10)+0.5*(3*((L$4-10)/10)^2-2*((L$4-10)/10)^3))),0)</f>
        <v>36</v>
      </c>
      <c r="M20" s="3" t="n">
        <f aca="false">ROUND(IF(M$4&lt;=10,$D20+($E20-$D20)*(0.5*((M$4-1)/9)+0.5*(3*((M$4-1)/9)^2-2*((M$4-1)/9)^3)),$E20+($F20-$E20)*(0.5*((M$4-10)/10)+0.5*(3*((M$4-10)/10)^2-2*((M$4-10)/10)^3))),0)</f>
        <v>42</v>
      </c>
      <c r="N20" s="3" t="n">
        <f aca="false">ROUND(IF(N$4&lt;=10,$D20+($E20-$D20)*(0.5*((N$4-1)/9)+0.5*(3*((N$4-1)/9)^2-2*((N$4-1)/9)^3)),$E20+($F20-$E20)*(0.5*((N$4-10)/10)+0.5*(3*((N$4-10)/10)^2-2*((N$4-10)/10)^3))),0)</f>
        <v>47</v>
      </c>
      <c r="O20" s="3" t="n">
        <f aca="false">ROUND(IF(O$4&lt;=10,$D20+($E20-$D20)*(0.5*((O$4-1)/9)+0.5*(3*((O$4-1)/9)^2-2*((O$4-1)/9)^3)),$E20+($F20-$E20)*(0.5*((O$4-10)/10)+0.5*(3*((O$4-10)/10)^2-2*((O$4-10)/10)^3))),0)</f>
        <v>52</v>
      </c>
      <c r="P20" s="3" t="n">
        <f aca="false">ROUND(IF(P$4&lt;=10,$D20+($E20-$D20)*(0.5*((P$4-1)/9)+0.5*(3*((P$4-1)/9)^2-2*((P$4-1)/9)^3)),$E20+($F20-$E20)*(0.5*((P$4-10)/10)+0.5*(3*((P$4-10)/10)^2-2*((P$4-10)/10)^3))),0)</f>
        <v>55</v>
      </c>
      <c r="Q20" s="3" t="n">
        <f aca="false">ROUND(IF(Q$4&lt;=10,$D20+($E20-$D20)*(0.5*((Q$4-1)/9)+0.5*(3*((Q$4-1)/9)^2-2*((Q$4-1)/9)^3)),$E20+($F20-$E20)*(0.5*((Q$4-10)/10)+0.5*(3*((Q$4-10)/10)^2-2*((Q$4-10)/10)^3))),0)</f>
        <v>58</v>
      </c>
      <c r="R20" s="3" t="n">
        <f aca="false">ROUND(IF(R$4&lt;=10,$D20+($E20-$D20)*(0.5*((R$4-1)/9)+0.5*(3*((R$4-1)/9)^2-2*((R$4-1)/9)^3)),$E20+($F20-$E20)*(0.5*((R$4-10)/10)+0.5*(3*((R$4-10)/10)^2-2*((R$4-10)/10)^3))),0)</f>
        <v>62</v>
      </c>
      <c r="S20" s="3" t="n">
        <f aca="false">ROUND(IF(S$4&lt;=10,$D20+($E20-$D20)*(0.5*((S$4-1)/9)+0.5*(3*((S$4-1)/9)^2-2*((S$4-1)/9)^3)),$E20+($F20-$E20)*(0.5*((S$4-10)/10)+0.5*(3*((S$4-10)/10)^2-2*((S$4-10)/10)^3))),0)</f>
        <v>67</v>
      </c>
      <c r="T20" s="3" t="n">
        <f aca="false">ROUND(IF(T$4&lt;=10,$D20+($E20-$D20)*(0.5*((T$4-1)/9)+0.5*(3*((T$4-1)/9)^2-2*((T$4-1)/9)^3)),$E20+($F20-$E20)*(0.5*((T$4-10)/10)+0.5*(3*((T$4-10)/10)^2-2*((T$4-10)/10)^3))),0)</f>
        <v>72</v>
      </c>
      <c r="U20" s="3" t="n">
        <f aca="false">ROUND(IF(U$4&lt;=10,$D20+($E20-$D20)*(0.5*((U$4-1)/9)+0.5*(3*((U$4-1)/9)^2-2*((U$4-1)/9)^3)),$E20+($F20-$E20)*(0.5*((U$4-10)/10)+0.5*(3*((U$4-10)/10)^2-2*((U$4-10)/10)^3))),0)</f>
        <v>78</v>
      </c>
      <c r="V20" s="3" t="n">
        <f aca="false">ROUND(IF(V$4&lt;=10,$D20+($E20-$D20)*(0.5*((V$4-1)/9)+0.5*(3*((V$4-1)/9)^2-2*((V$4-1)/9)^3)),$E20+($F20-$E20)*(0.5*((V$4-10)/10)+0.5*(3*((V$4-10)/10)^2-2*((V$4-10)/10)^3))),0)</f>
        <v>83</v>
      </c>
      <c r="W20" s="3" t="n">
        <f aca="false">ROUND(IF(W$4&lt;=10,$D20+($E20-$D20)*(0.5*((W$4-1)/9)+0.5*(3*((W$4-1)/9)^2-2*((W$4-1)/9)^3)),$E20+($F20-$E20)*(0.5*((W$4-10)/10)+0.5*(3*((W$4-10)/10)^2-2*((W$4-10)/10)^3))),0)</f>
        <v>88</v>
      </c>
      <c r="X20" s="3" t="n">
        <f aca="false">ROUND(IF(X$4&lt;=10,$D20+($E20-$D20)*(0.5*((X$4-1)/9)+0.5*(3*((X$4-1)/9)^2-2*((X$4-1)/9)^3)),$E20+($F20-$E20)*(0.5*((X$4-10)/10)+0.5*(3*((X$4-10)/10)^2-2*((X$4-10)/10)^3))),0)</f>
        <v>93</v>
      </c>
      <c r="Y20" s="3" t="n">
        <f aca="false">ROUND(IF(Y$4&lt;=10,$D20+($E20-$D20)*(0.5*((Y$4-1)/9)+0.5*(3*((Y$4-1)/9)^2-2*((Y$4-1)/9)^3)),$E20+($F20-$E20)*(0.5*((Y$4-10)/10)+0.5*(3*((Y$4-10)/10)^2-2*((Y$4-10)/10)^3))),0)</f>
        <v>97</v>
      </c>
      <c r="Z20" s="3" t="n">
        <f aca="false">ROUND(IF(Z$4&lt;=10,$D20+($E20-$D20)*(0.5*((Z$4-1)/9)+0.5*(3*((Z$4-1)/9)^2-2*((Z$4-1)/9)^3)),$E20+($F20-$E20)*(0.5*((Z$4-10)/10)+0.5*(3*((Z$4-10)/10)^2-2*((Z$4-10)/10)^3))),0)</f>
        <v>100</v>
      </c>
    </row>
    <row r="21" customFormat="false" ht="15" hidden="false" customHeight="true" outlineLevel="0" collapsed="false">
      <c r="A21" s="3" t="s">
        <v>71</v>
      </c>
      <c r="B21" s="3" t="s">
        <v>72</v>
      </c>
      <c r="C21" s="3" t="s">
        <v>49</v>
      </c>
      <c r="D21" s="5" t="n">
        <v>600</v>
      </c>
      <c r="E21" s="5" t="n">
        <v>1500</v>
      </c>
      <c r="F21" s="10" t="n">
        <v>2800</v>
      </c>
      <c r="G21" s="3" t="n">
        <f aca="false">ROUND(IF(G$4&lt;=10,$D21+($E21-$D21)*(0.5*((G$4-1)/9)+0.5*(3*((G$4-1)/9)^2-2*((G$4-1)/9)^3)),$E21+($F21-$E21)*(0.5*((G$4-10)/10)+0.5*(3*((G$4-10)/10)^2-2*((G$4-10)/10)^3))),0)</f>
        <v>600</v>
      </c>
      <c r="H21" s="3" t="n">
        <f aca="false">ROUND(IF(H$4&lt;=10,$D21+($E21-$D21)*(0.5*((H$4-1)/9)+0.5*(3*((H$4-1)/9)^2-2*((H$4-1)/9)^3)),$E21+($F21-$E21)*(0.5*((H$4-10)/10)+0.5*(3*((H$4-10)/10)^2-2*((H$4-10)/10)^3))),0)</f>
        <v>665</v>
      </c>
      <c r="I21" s="3" t="n">
        <f aca="false">ROUND(IF(I$4&lt;=10,$D21+($E21-$D21)*(0.5*((I$4-1)/9)+0.5*(3*((I$4-1)/9)^2-2*((I$4-1)/9)^3)),$E21+($F21-$E21)*(0.5*((I$4-10)/10)+0.5*(3*((I$4-10)/10)^2-2*((I$4-10)/10)^3))),0)</f>
        <v>757</v>
      </c>
      <c r="J21" s="3" t="n">
        <f aca="false">ROUND(IF(J$4&lt;=10,$D21+($E21-$D21)*(0.5*((J$4-1)/9)+0.5*(3*((J$4-1)/9)^2-2*((J$4-1)/9)^3)),$E21+($F21-$E21)*(0.5*((J$4-10)/10)+0.5*(3*((J$4-10)/10)^2-2*((J$4-10)/10)^3))),0)</f>
        <v>867</v>
      </c>
      <c r="K21" s="3" t="n">
        <f aca="false">ROUND(IF(K$4&lt;=10,$D21+($E21-$D21)*(0.5*((K$4-1)/9)+0.5*(3*((K$4-1)/9)^2-2*((K$4-1)/9)^3)),$E21+($F21-$E21)*(0.5*((K$4-10)/10)+0.5*(3*((K$4-10)/10)^2-2*((K$4-10)/10)^3))),0)</f>
        <v>988</v>
      </c>
      <c r="L21" s="3" t="n">
        <f aca="false">ROUND(IF(L$4&lt;=10,$D21+($E21-$D21)*(0.5*((L$4-1)/9)+0.5*(3*((L$4-1)/9)^2-2*((L$4-1)/9)^3)),$E21+($F21-$E21)*(0.5*((L$4-10)/10)+0.5*(3*((L$4-10)/10)^2-2*((L$4-10)/10)^3))),0)</f>
        <v>1112</v>
      </c>
      <c r="M21" s="3" t="n">
        <f aca="false">ROUND(IF(M$4&lt;=10,$D21+($E21-$D21)*(0.5*((M$4-1)/9)+0.5*(3*((M$4-1)/9)^2-2*((M$4-1)/9)^3)),$E21+($F21-$E21)*(0.5*((M$4-10)/10)+0.5*(3*((M$4-10)/10)^2-2*((M$4-10)/10)^3))),0)</f>
        <v>1233</v>
      </c>
      <c r="N21" s="3" t="n">
        <f aca="false">ROUND(IF(N$4&lt;=10,$D21+($E21-$D21)*(0.5*((N$4-1)/9)+0.5*(3*((N$4-1)/9)^2-2*((N$4-1)/9)^3)),$E21+($F21-$E21)*(0.5*((N$4-10)/10)+0.5*(3*((N$4-10)/10)^2-2*((N$4-10)/10)^3))),0)</f>
        <v>1343</v>
      </c>
      <c r="O21" s="3" t="n">
        <f aca="false">ROUND(IF(O$4&lt;=10,$D21+($E21-$D21)*(0.5*((O$4-1)/9)+0.5*(3*((O$4-1)/9)^2-2*((O$4-1)/9)^3)),$E21+($F21-$E21)*(0.5*((O$4-10)/10)+0.5*(3*((O$4-10)/10)^2-2*((O$4-10)/10)^3))),0)</f>
        <v>1435</v>
      </c>
      <c r="P21" s="3" t="n">
        <f aca="false">ROUND(IF(P$4&lt;=10,$D21+($E21-$D21)*(0.5*((P$4-1)/9)+0.5*(3*((P$4-1)/9)^2-2*((P$4-1)/9)^3)),$E21+($F21-$E21)*(0.5*((P$4-10)/10)+0.5*(3*((P$4-10)/10)^2-2*((P$4-10)/10)^3))),0)</f>
        <v>1500</v>
      </c>
      <c r="Q21" s="3" t="n">
        <f aca="false">ROUND(IF(Q$4&lt;=10,$D21+($E21-$D21)*(0.5*((Q$4-1)/9)+0.5*(3*((Q$4-1)/9)^2-2*((Q$4-1)/9)^3)),$E21+($F21-$E21)*(0.5*((Q$4-10)/10)+0.5*(3*((Q$4-10)/10)^2-2*((Q$4-10)/10)^3))),0)</f>
        <v>1583</v>
      </c>
      <c r="R21" s="3" t="n">
        <f aca="false">ROUND(IF(R$4&lt;=10,$D21+($E21-$D21)*(0.5*((R$4-1)/9)+0.5*(3*((R$4-1)/9)^2-2*((R$4-1)/9)^3)),$E21+($F21-$E21)*(0.5*((R$4-10)/10)+0.5*(3*((R$4-10)/10)^2-2*((R$4-10)/10)^3))),0)</f>
        <v>1698</v>
      </c>
      <c r="S21" s="3" t="n">
        <f aca="false">ROUND(IF(S$4&lt;=10,$D21+($E21-$D21)*(0.5*((S$4-1)/9)+0.5*(3*((S$4-1)/9)^2-2*((S$4-1)/9)^3)),$E21+($F21-$E21)*(0.5*((S$4-10)/10)+0.5*(3*((S$4-10)/10)^2-2*((S$4-10)/10)^3))),0)</f>
        <v>1835</v>
      </c>
      <c r="T21" s="3" t="n">
        <f aca="false">ROUND(IF(T$4&lt;=10,$D21+($E21-$D21)*(0.5*((T$4-1)/9)+0.5*(3*((T$4-1)/9)^2-2*((T$4-1)/9)^3)),$E21+($F21-$E21)*(0.5*((T$4-10)/10)+0.5*(3*((T$4-10)/10)^2-2*((T$4-10)/10)^3))),0)</f>
        <v>1989</v>
      </c>
      <c r="U21" s="3" t="n">
        <f aca="false">ROUND(IF(U$4&lt;=10,$D21+($E21-$D21)*(0.5*((U$4-1)/9)+0.5*(3*((U$4-1)/9)^2-2*((U$4-1)/9)^3)),$E21+($F21-$E21)*(0.5*((U$4-10)/10)+0.5*(3*((U$4-10)/10)^2-2*((U$4-10)/10)^3))),0)</f>
        <v>2150</v>
      </c>
      <c r="V21" s="3" t="n">
        <f aca="false">ROUND(IF(V$4&lt;=10,$D21+($E21-$D21)*(0.5*((V$4-1)/9)+0.5*(3*((V$4-1)/9)^2-2*((V$4-1)/9)^3)),$E21+($F21-$E21)*(0.5*((V$4-10)/10)+0.5*(3*((V$4-10)/10)^2-2*((V$4-10)/10)^3))),0)</f>
        <v>2311</v>
      </c>
      <c r="W21" s="3" t="n">
        <f aca="false">ROUND(IF(W$4&lt;=10,$D21+($E21-$D21)*(0.5*((W$4-1)/9)+0.5*(3*((W$4-1)/9)^2-2*((W$4-1)/9)^3)),$E21+($F21-$E21)*(0.5*((W$4-10)/10)+0.5*(3*((W$4-10)/10)^2-2*((W$4-10)/10)^3))),0)</f>
        <v>2465</v>
      </c>
      <c r="X21" s="3" t="n">
        <f aca="false">ROUND(IF(X$4&lt;=10,$D21+($E21-$D21)*(0.5*((X$4-1)/9)+0.5*(3*((X$4-1)/9)^2-2*((X$4-1)/9)^3)),$E21+($F21-$E21)*(0.5*((X$4-10)/10)+0.5*(3*((X$4-10)/10)^2-2*((X$4-10)/10)^3))),0)</f>
        <v>2602</v>
      </c>
      <c r="Y21" s="3" t="n">
        <f aca="false">ROUND(IF(Y$4&lt;=10,$D21+($E21-$D21)*(0.5*((Y$4-1)/9)+0.5*(3*((Y$4-1)/9)^2-2*((Y$4-1)/9)^3)),$E21+($F21-$E21)*(0.5*((Y$4-10)/10)+0.5*(3*((Y$4-10)/10)^2-2*((Y$4-10)/10)^3))),0)</f>
        <v>2717</v>
      </c>
      <c r="Z21" s="3" t="n">
        <f aca="false">ROUND(IF(Z$4&lt;=10,$D21+($E21-$D21)*(0.5*((Z$4-1)/9)+0.5*(3*((Z$4-1)/9)^2-2*((Z$4-1)/9)^3)),$E21+($F21-$E21)*(0.5*((Z$4-10)/10)+0.5*(3*((Z$4-10)/10)^2-2*((Z$4-10)/10)^3))),0)</f>
        <v>2800</v>
      </c>
    </row>
    <row r="22" customFormat="false" ht="15" hidden="false" customHeight="true" outlineLevel="0" collapsed="false">
      <c r="A22" s="3" t="s">
        <v>73</v>
      </c>
      <c r="B22" s="3" t="s">
        <v>72</v>
      </c>
      <c r="C22" s="3" t="s">
        <v>51</v>
      </c>
      <c r="D22" s="5" t="n">
        <v>40</v>
      </c>
      <c r="E22" s="5" t="n">
        <v>125</v>
      </c>
      <c r="F22" s="5" t="n">
        <v>230</v>
      </c>
      <c r="G22" s="3" t="n">
        <f aca="false">ROUND(IF(G$4&lt;=10,$D22+($E22-$D22)*(0.5*((G$4-1)/9)+0.5*(3*((G$4-1)/9)^2-2*((G$4-1)/9)^3)),$E22+($F22-$E22)*(0.5*((G$4-10)/10)+0.5*(3*((G$4-10)/10)^2-2*((G$4-10)/10)^3))),0)</f>
        <v>40</v>
      </c>
      <c r="H22" s="3" t="n">
        <f aca="false">ROUND(IF(H$4&lt;=10,$D22+($E22-$D22)*(0.5*((H$4-1)/9)+0.5*(3*((H$4-1)/9)^2-2*((H$4-1)/9)^3)),$E22+($F22-$E22)*(0.5*((H$4-10)/10)+0.5*(3*((H$4-10)/10)^2-2*((H$4-10)/10)^3))),0)</f>
        <v>46</v>
      </c>
      <c r="I22" s="3" t="n">
        <f aca="false">ROUND(IF(I$4&lt;=10,$D22+($E22-$D22)*(0.5*((I$4-1)/9)+0.5*(3*((I$4-1)/9)^2-2*((I$4-1)/9)^3)),$E22+($F22-$E22)*(0.5*((I$4-10)/10)+0.5*(3*((I$4-10)/10)^2-2*((I$4-10)/10)^3))),0)</f>
        <v>55</v>
      </c>
      <c r="J22" s="3" t="n">
        <f aca="false">ROUND(IF(J$4&lt;=10,$D22+($E22-$D22)*(0.5*((J$4-1)/9)+0.5*(3*((J$4-1)/9)^2-2*((J$4-1)/9)^3)),$E22+($F22-$E22)*(0.5*((J$4-10)/10)+0.5*(3*((J$4-10)/10)^2-2*((J$4-10)/10)^3))),0)</f>
        <v>65</v>
      </c>
      <c r="K22" s="3" t="n">
        <f aca="false">ROUND(IF(K$4&lt;=10,$D22+($E22-$D22)*(0.5*((K$4-1)/9)+0.5*(3*((K$4-1)/9)^2-2*((K$4-1)/9)^3)),$E22+($F22-$E22)*(0.5*((K$4-10)/10)+0.5*(3*((K$4-10)/10)^2-2*((K$4-10)/10)^3))),0)</f>
        <v>77</v>
      </c>
      <c r="L22" s="3" t="n">
        <f aca="false">ROUND(IF(L$4&lt;=10,$D22+($E22-$D22)*(0.5*((L$4-1)/9)+0.5*(3*((L$4-1)/9)^2-2*((L$4-1)/9)^3)),$E22+($F22-$E22)*(0.5*((L$4-10)/10)+0.5*(3*((L$4-10)/10)^2-2*((L$4-10)/10)^3))),0)</f>
        <v>88</v>
      </c>
      <c r="M22" s="3" t="n">
        <f aca="false">ROUND(IF(M$4&lt;=10,$D22+($E22-$D22)*(0.5*((M$4-1)/9)+0.5*(3*((M$4-1)/9)^2-2*((M$4-1)/9)^3)),$E22+($F22-$E22)*(0.5*((M$4-10)/10)+0.5*(3*((M$4-10)/10)^2-2*((M$4-10)/10)^3))),0)</f>
        <v>100</v>
      </c>
      <c r="N22" s="3" t="n">
        <f aca="false">ROUND(IF(N$4&lt;=10,$D22+($E22-$D22)*(0.5*((N$4-1)/9)+0.5*(3*((N$4-1)/9)^2-2*((N$4-1)/9)^3)),$E22+($F22-$E22)*(0.5*((N$4-10)/10)+0.5*(3*((N$4-10)/10)^2-2*((N$4-10)/10)^3))),0)</f>
        <v>110</v>
      </c>
      <c r="O22" s="3" t="n">
        <f aca="false">ROUND(IF(O$4&lt;=10,$D22+($E22-$D22)*(0.5*((O$4-1)/9)+0.5*(3*((O$4-1)/9)^2-2*((O$4-1)/9)^3)),$E22+($F22-$E22)*(0.5*((O$4-10)/10)+0.5*(3*((O$4-10)/10)^2-2*((O$4-10)/10)^3))),0)</f>
        <v>119</v>
      </c>
      <c r="P22" s="3" t="n">
        <f aca="false">ROUND(IF(P$4&lt;=10,$D22+($E22-$D22)*(0.5*((P$4-1)/9)+0.5*(3*((P$4-1)/9)^2-2*((P$4-1)/9)^3)),$E22+($F22-$E22)*(0.5*((P$4-10)/10)+0.5*(3*((P$4-10)/10)^2-2*((P$4-10)/10)^3))),0)</f>
        <v>125</v>
      </c>
      <c r="Q22" s="3" t="n">
        <f aca="false">ROUND(IF(Q$4&lt;=10,$D22+($E22-$D22)*(0.5*((Q$4-1)/9)+0.5*(3*((Q$4-1)/9)^2-2*((Q$4-1)/9)^3)),$E22+($F22-$E22)*(0.5*((Q$4-10)/10)+0.5*(3*((Q$4-10)/10)^2-2*((Q$4-10)/10)^3))),0)</f>
        <v>132</v>
      </c>
      <c r="R22" s="3" t="n">
        <f aca="false">ROUND(IF(R$4&lt;=10,$D22+($E22-$D22)*(0.5*((R$4-1)/9)+0.5*(3*((R$4-1)/9)^2-2*((R$4-1)/9)^3)),$E22+($F22-$E22)*(0.5*((R$4-10)/10)+0.5*(3*((R$4-10)/10)^2-2*((R$4-10)/10)^3))),0)</f>
        <v>141</v>
      </c>
      <c r="S22" s="3" t="n">
        <f aca="false">ROUND(IF(S$4&lt;=10,$D22+($E22-$D22)*(0.5*((S$4-1)/9)+0.5*(3*((S$4-1)/9)^2-2*((S$4-1)/9)^3)),$E22+($F22-$E22)*(0.5*((S$4-10)/10)+0.5*(3*((S$4-10)/10)^2-2*((S$4-10)/10)^3))),0)</f>
        <v>152</v>
      </c>
      <c r="T22" s="3" t="n">
        <f aca="false">ROUND(IF(T$4&lt;=10,$D22+($E22-$D22)*(0.5*((T$4-1)/9)+0.5*(3*((T$4-1)/9)^2-2*((T$4-1)/9)^3)),$E22+($F22-$E22)*(0.5*((T$4-10)/10)+0.5*(3*((T$4-10)/10)^2-2*((T$4-10)/10)^3))),0)</f>
        <v>164</v>
      </c>
      <c r="U22" s="3" t="n">
        <f aca="false">ROUND(IF(U$4&lt;=10,$D22+($E22-$D22)*(0.5*((U$4-1)/9)+0.5*(3*((U$4-1)/9)^2-2*((U$4-1)/9)^3)),$E22+($F22-$E22)*(0.5*((U$4-10)/10)+0.5*(3*((U$4-10)/10)^2-2*((U$4-10)/10)^3))),0)</f>
        <v>178</v>
      </c>
      <c r="V22" s="3" t="n">
        <f aca="false">ROUND(IF(V$4&lt;=10,$D22+($E22-$D22)*(0.5*((V$4-1)/9)+0.5*(3*((V$4-1)/9)^2-2*((V$4-1)/9)^3)),$E22+($F22-$E22)*(0.5*((V$4-10)/10)+0.5*(3*((V$4-10)/10)^2-2*((V$4-10)/10)^3))),0)</f>
        <v>191</v>
      </c>
      <c r="W22" s="3" t="n">
        <f aca="false">ROUND(IF(W$4&lt;=10,$D22+($E22-$D22)*(0.5*((W$4-1)/9)+0.5*(3*((W$4-1)/9)^2-2*((W$4-1)/9)^3)),$E22+($F22-$E22)*(0.5*((W$4-10)/10)+0.5*(3*((W$4-10)/10)^2-2*((W$4-10)/10)^3))),0)</f>
        <v>203</v>
      </c>
      <c r="X22" s="3" t="n">
        <f aca="false">ROUND(IF(X$4&lt;=10,$D22+($E22-$D22)*(0.5*((X$4-1)/9)+0.5*(3*((X$4-1)/9)^2-2*((X$4-1)/9)^3)),$E22+($F22-$E22)*(0.5*((X$4-10)/10)+0.5*(3*((X$4-10)/10)^2-2*((X$4-10)/10)^3))),0)</f>
        <v>214</v>
      </c>
      <c r="Y22" s="3" t="n">
        <f aca="false">ROUND(IF(Y$4&lt;=10,$D22+($E22-$D22)*(0.5*((Y$4-1)/9)+0.5*(3*((Y$4-1)/9)^2-2*((Y$4-1)/9)^3)),$E22+($F22-$E22)*(0.5*((Y$4-10)/10)+0.5*(3*((Y$4-10)/10)^2-2*((Y$4-10)/10)^3))),0)</f>
        <v>223</v>
      </c>
      <c r="Z22" s="3" t="n">
        <f aca="false">ROUND(IF(Z$4&lt;=10,$D22+($E22-$D22)*(0.5*((Z$4-1)/9)+0.5*(3*((Z$4-1)/9)^2-2*((Z$4-1)/9)^3)),$E22+($F22-$E22)*(0.5*((Z$4-10)/10)+0.5*(3*((Z$4-10)/10)^2-2*((Z$4-10)/10)^3))),0)</f>
        <v>230</v>
      </c>
    </row>
    <row r="23" customFormat="false" ht="15" hidden="false" customHeight="true" outlineLevel="0" collapsed="false">
      <c r="A23" s="3" t="s">
        <v>74</v>
      </c>
      <c r="B23" s="3" t="s">
        <v>72</v>
      </c>
      <c r="C23" s="3" t="s">
        <v>53</v>
      </c>
      <c r="D23" s="5" t="n">
        <v>100</v>
      </c>
      <c r="E23" s="5" t="n">
        <v>120</v>
      </c>
      <c r="F23" s="5" t="n">
        <v>135</v>
      </c>
      <c r="G23" s="3" t="n">
        <f aca="false">ROUND(IF(G$4&lt;=10,$D23+($E23-$D23)*(0.5*((G$4-1)/9)+0.5*(3*((G$4-1)/9)^2-2*((G$4-1)/9)^3)),$E23+($F23-$E23)*(0.5*((G$4-10)/10)+0.5*(3*((G$4-10)/10)^2-2*((G$4-10)/10)^3))),0)</f>
        <v>100</v>
      </c>
      <c r="H23" s="3" t="n">
        <f aca="false">ROUND(IF(H$4&lt;=10,$D23+($E23-$D23)*(0.5*((H$4-1)/9)+0.5*(3*((H$4-1)/9)^2-2*((H$4-1)/9)^3)),$E23+($F23-$E23)*(0.5*((H$4-10)/10)+0.5*(3*((H$4-10)/10)^2-2*((H$4-10)/10)^3))),0)</f>
        <v>101</v>
      </c>
      <c r="I23" s="3" t="n">
        <f aca="false">ROUND(IF(I$4&lt;=10,$D23+($E23-$D23)*(0.5*((I$4-1)/9)+0.5*(3*((I$4-1)/9)^2-2*((I$4-1)/9)^3)),$E23+($F23-$E23)*(0.5*((I$4-10)/10)+0.5*(3*((I$4-10)/10)^2-2*((I$4-10)/10)^3))),0)</f>
        <v>103</v>
      </c>
      <c r="J23" s="3" t="n">
        <f aca="false">ROUND(IF(J$4&lt;=10,$D23+($E23-$D23)*(0.5*((J$4-1)/9)+0.5*(3*((J$4-1)/9)^2-2*((J$4-1)/9)^3)),$E23+($F23-$E23)*(0.5*((J$4-10)/10)+0.5*(3*((J$4-10)/10)^2-2*((J$4-10)/10)^3))),0)</f>
        <v>106</v>
      </c>
      <c r="K23" s="3" t="n">
        <f aca="false">ROUND(IF(K$4&lt;=10,$D23+($E23-$D23)*(0.5*((K$4-1)/9)+0.5*(3*((K$4-1)/9)^2-2*((K$4-1)/9)^3)),$E23+($F23-$E23)*(0.5*((K$4-10)/10)+0.5*(3*((K$4-10)/10)^2-2*((K$4-10)/10)^3))),0)</f>
        <v>109</v>
      </c>
      <c r="L23" s="3" t="n">
        <f aca="false">ROUND(IF(L$4&lt;=10,$D23+($E23-$D23)*(0.5*((L$4-1)/9)+0.5*(3*((L$4-1)/9)^2-2*((L$4-1)/9)^3)),$E23+($F23-$E23)*(0.5*((L$4-10)/10)+0.5*(3*((L$4-10)/10)^2-2*((L$4-10)/10)^3))),0)</f>
        <v>111</v>
      </c>
      <c r="M23" s="3" t="n">
        <f aca="false">ROUND(IF(M$4&lt;=10,$D23+($E23-$D23)*(0.5*((M$4-1)/9)+0.5*(3*((M$4-1)/9)^2-2*((M$4-1)/9)^3)),$E23+($F23-$E23)*(0.5*((M$4-10)/10)+0.5*(3*((M$4-10)/10)^2-2*((M$4-10)/10)^3))),0)</f>
        <v>114</v>
      </c>
      <c r="N23" s="3" t="n">
        <f aca="false">ROUND(IF(N$4&lt;=10,$D23+($E23-$D23)*(0.5*((N$4-1)/9)+0.5*(3*((N$4-1)/9)^2-2*((N$4-1)/9)^3)),$E23+($F23-$E23)*(0.5*((N$4-10)/10)+0.5*(3*((N$4-10)/10)^2-2*((N$4-10)/10)^3))),0)</f>
        <v>117</v>
      </c>
      <c r="O23" s="3" t="n">
        <f aca="false">ROUND(IF(O$4&lt;=10,$D23+($E23-$D23)*(0.5*((O$4-1)/9)+0.5*(3*((O$4-1)/9)^2-2*((O$4-1)/9)^3)),$E23+($F23-$E23)*(0.5*((O$4-10)/10)+0.5*(3*((O$4-10)/10)^2-2*((O$4-10)/10)^3))),0)</f>
        <v>119</v>
      </c>
      <c r="P23" s="3" t="n">
        <f aca="false">ROUND(IF(P$4&lt;=10,$D23+($E23-$D23)*(0.5*((P$4-1)/9)+0.5*(3*((P$4-1)/9)^2-2*((P$4-1)/9)^3)),$E23+($F23-$E23)*(0.5*((P$4-10)/10)+0.5*(3*((P$4-10)/10)^2-2*((P$4-10)/10)^3))),0)</f>
        <v>120</v>
      </c>
      <c r="Q23" s="3" t="n">
        <f aca="false">ROUND(IF(Q$4&lt;=10,$D23+($E23-$D23)*(0.5*((Q$4-1)/9)+0.5*(3*((Q$4-1)/9)^2-2*((Q$4-1)/9)^3)),$E23+($F23-$E23)*(0.5*((Q$4-10)/10)+0.5*(3*((Q$4-10)/10)^2-2*((Q$4-10)/10)^3))),0)</f>
        <v>121</v>
      </c>
      <c r="R23" s="3" t="n">
        <f aca="false">ROUND(IF(R$4&lt;=10,$D23+($E23-$D23)*(0.5*((R$4-1)/9)+0.5*(3*((R$4-1)/9)^2-2*((R$4-1)/9)^3)),$E23+($F23-$E23)*(0.5*((R$4-10)/10)+0.5*(3*((R$4-10)/10)^2-2*((R$4-10)/10)^3))),0)</f>
        <v>122</v>
      </c>
      <c r="S23" s="3" t="n">
        <f aca="false">ROUND(IF(S$4&lt;=10,$D23+($E23-$D23)*(0.5*((S$4-1)/9)+0.5*(3*((S$4-1)/9)^2-2*((S$4-1)/9)^3)),$E23+($F23-$E23)*(0.5*((S$4-10)/10)+0.5*(3*((S$4-10)/10)^2-2*((S$4-10)/10)^3))),0)</f>
        <v>124</v>
      </c>
      <c r="T23" s="3" t="n">
        <f aca="false">ROUND(IF(T$4&lt;=10,$D23+($E23-$D23)*(0.5*((T$4-1)/9)+0.5*(3*((T$4-1)/9)^2-2*((T$4-1)/9)^3)),$E23+($F23-$E23)*(0.5*((T$4-10)/10)+0.5*(3*((T$4-10)/10)^2-2*((T$4-10)/10)^3))),0)</f>
        <v>126</v>
      </c>
      <c r="U23" s="3" t="n">
        <f aca="false">ROUND(IF(U$4&lt;=10,$D23+($E23-$D23)*(0.5*((U$4-1)/9)+0.5*(3*((U$4-1)/9)^2-2*((U$4-1)/9)^3)),$E23+($F23-$E23)*(0.5*((U$4-10)/10)+0.5*(3*((U$4-10)/10)^2-2*((U$4-10)/10)^3))),0)</f>
        <v>128</v>
      </c>
      <c r="V23" s="3" t="n">
        <f aca="false">ROUND(IF(V$4&lt;=10,$D23+($E23-$D23)*(0.5*((V$4-1)/9)+0.5*(3*((V$4-1)/9)^2-2*((V$4-1)/9)^3)),$E23+($F23-$E23)*(0.5*((V$4-10)/10)+0.5*(3*((V$4-10)/10)^2-2*((V$4-10)/10)^3))),0)</f>
        <v>129</v>
      </c>
      <c r="W23" s="3" t="n">
        <f aca="false">ROUND(IF(W$4&lt;=10,$D23+($E23-$D23)*(0.5*((W$4-1)/9)+0.5*(3*((W$4-1)/9)^2-2*((W$4-1)/9)^3)),$E23+($F23-$E23)*(0.5*((W$4-10)/10)+0.5*(3*((W$4-10)/10)^2-2*((W$4-10)/10)^3))),0)</f>
        <v>131</v>
      </c>
      <c r="X23" s="3" t="n">
        <f aca="false">ROUND(IF(X$4&lt;=10,$D23+($E23-$D23)*(0.5*((X$4-1)/9)+0.5*(3*((X$4-1)/9)^2-2*((X$4-1)/9)^3)),$E23+($F23-$E23)*(0.5*((X$4-10)/10)+0.5*(3*((X$4-10)/10)^2-2*((X$4-10)/10)^3))),0)</f>
        <v>133</v>
      </c>
      <c r="Y23" s="3" t="n">
        <f aca="false">ROUND(IF(Y$4&lt;=10,$D23+($E23-$D23)*(0.5*((Y$4-1)/9)+0.5*(3*((Y$4-1)/9)^2-2*((Y$4-1)/9)^3)),$E23+($F23-$E23)*(0.5*((Y$4-10)/10)+0.5*(3*((Y$4-10)/10)^2-2*((Y$4-10)/10)^3))),0)</f>
        <v>134</v>
      </c>
      <c r="Z23" s="3" t="n">
        <f aca="false">ROUND(IF(Z$4&lt;=10,$D23+($E23-$D23)*(0.5*((Z$4-1)/9)+0.5*(3*((Z$4-1)/9)^2-2*((Z$4-1)/9)^3)),$E23+($F23-$E23)*(0.5*((Z$4-10)/10)+0.5*(3*((Z$4-10)/10)^2-2*((Z$4-10)/10)^3))),0)</f>
        <v>135</v>
      </c>
    </row>
    <row r="24" customFormat="false" ht="15" hidden="false" customHeight="true" outlineLevel="0" collapsed="false">
      <c r="A24" s="3" t="s">
        <v>75</v>
      </c>
      <c r="B24" s="3" t="s">
        <v>72</v>
      </c>
      <c r="C24" s="3" t="s">
        <v>55</v>
      </c>
      <c r="D24" s="5" t="n">
        <v>10</v>
      </c>
      <c r="E24" s="5" t="n">
        <v>35</v>
      </c>
      <c r="F24" s="5" t="n">
        <v>60</v>
      </c>
      <c r="G24" s="3" t="n">
        <f aca="false">ROUND(IF(G$4&lt;=10,$D24+($E24-$D24)*(0.5*((G$4-1)/9)+0.5*(3*((G$4-1)/9)^2-2*((G$4-1)/9)^3)),$E24+($F24-$E24)*(0.5*((G$4-10)/10)+0.5*(3*((G$4-10)/10)^2-2*((G$4-10)/10)^3))),0)</f>
        <v>10</v>
      </c>
      <c r="H24" s="3" t="n">
        <f aca="false">ROUND(IF(H$4&lt;=10,$D24+($E24-$D24)*(0.5*((H$4-1)/9)+0.5*(3*((H$4-1)/9)^2-2*((H$4-1)/9)^3)),$E24+($F24-$E24)*(0.5*((H$4-10)/10)+0.5*(3*((H$4-10)/10)^2-2*((H$4-10)/10)^3))),0)</f>
        <v>12</v>
      </c>
      <c r="I24" s="3" t="n">
        <f aca="false">ROUND(IF(I$4&lt;=10,$D24+($E24-$D24)*(0.5*((I$4-1)/9)+0.5*(3*((I$4-1)/9)^2-2*((I$4-1)/9)^3)),$E24+($F24-$E24)*(0.5*((I$4-10)/10)+0.5*(3*((I$4-10)/10)^2-2*((I$4-10)/10)^3))),0)</f>
        <v>14</v>
      </c>
      <c r="J24" s="3" t="n">
        <f aca="false">ROUND(IF(J$4&lt;=10,$D24+($E24-$D24)*(0.5*((J$4-1)/9)+0.5*(3*((J$4-1)/9)^2-2*((J$4-1)/9)^3)),$E24+($F24-$E24)*(0.5*((J$4-10)/10)+0.5*(3*((J$4-10)/10)^2-2*((J$4-10)/10)^3))),0)</f>
        <v>17</v>
      </c>
      <c r="K24" s="3" t="n">
        <f aca="false">ROUND(IF(K$4&lt;=10,$D24+($E24-$D24)*(0.5*((K$4-1)/9)+0.5*(3*((K$4-1)/9)^2-2*((K$4-1)/9)^3)),$E24+($F24-$E24)*(0.5*((K$4-10)/10)+0.5*(3*((K$4-10)/10)^2-2*((K$4-10)/10)^3))),0)</f>
        <v>21</v>
      </c>
      <c r="L24" s="3" t="n">
        <f aca="false">ROUND(IF(L$4&lt;=10,$D24+($E24-$D24)*(0.5*((L$4-1)/9)+0.5*(3*((L$4-1)/9)^2-2*((L$4-1)/9)^3)),$E24+($F24-$E24)*(0.5*((L$4-10)/10)+0.5*(3*((L$4-10)/10)^2-2*((L$4-10)/10)^3))),0)</f>
        <v>24</v>
      </c>
      <c r="M24" s="3" t="n">
        <f aca="false">ROUND(IF(M$4&lt;=10,$D24+($E24-$D24)*(0.5*((M$4-1)/9)+0.5*(3*((M$4-1)/9)^2-2*((M$4-1)/9)^3)),$E24+($F24-$E24)*(0.5*((M$4-10)/10)+0.5*(3*((M$4-10)/10)^2-2*((M$4-10)/10)^3))),0)</f>
        <v>28</v>
      </c>
      <c r="N24" s="3" t="n">
        <f aca="false">ROUND(IF(N$4&lt;=10,$D24+($E24-$D24)*(0.5*((N$4-1)/9)+0.5*(3*((N$4-1)/9)^2-2*((N$4-1)/9)^3)),$E24+($F24-$E24)*(0.5*((N$4-10)/10)+0.5*(3*((N$4-10)/10)^2-2*((N$4-10)/10)^3))),0)</f>
        <v>31</v>
      </c>
      <c r="O24" s="3" t="n">
        <f aca="false">ROUND(IF(O$4&lt;=10,$D24+($E24-$D24)*(0.5*((O$4-1)/9)+0.5*(3*((O$4-1)/9)^2-2*((O$4-1)/9)^3)),$E24+($F24-$E24)*(0.5*((O$4-10)/10)+0.5*(3*((O$4-10)/10)^2-2*((O$4-10)/10)^3))),0)</f>
        <v>33</v>
      </c>
      <c r="P24" s="3" t="n">
        <f aca="false">ROUND(IF(P$4&lt;=10,$D24+($E24-$D24)*(0.5*((P$4-1)/9)+0.5*(3*((P$4-1)/9)^2-2*((P$4-1)/9)^3)),$E24+($F24-$E24)*(0.5*((P$4-10)/10)+0.5*(3*((P$4-10)/10)^2-2*((P$4-10)/10)^3))),0)</f>
        <v>35</v>
      </c>
      <c r="Q24" s="3" t="n">
        <f aca="false">ROUND(IF(Q$4&lt;=10,$D24+($E24-$D24)*(0.5*((Q$4-1)/9)+0.5*(3*((Q$4-1)/9)^2-2*((Q$4-1)/9)^3)),$E24+($F24-$E24)*(0.5*((Q$4-10)/10)+0.5*(3*((Q$4-10)/10)^2-2*((Q$4-10)/10)^3))),0)</f>
        <v>37</v>
      </c>
      <c r="R24" s="3" t="n">
        <f aca="false">ROUND(IF(R$4&lt;=10,$D24+($E24-$D24)*(0.5*((R$4-1)/9)+0.5*(3*((R$4-1)/9)^2-2*((R$4-1)/9)^3)),$E24+($F24-$E24)*(0.5*((R$4-10)/10)+0.5*(3*((R$4-10)/10)^2-2*((R$4-10)/10)^3))),0)</f>
        <v>39</v>
      </c>
      <c r="S24" s="3" t="n">
        <f aca="false">ROUND(IF(S$4&lt;=10,$D24+($E24-$D24)*(0.5*((S$4-1)/9)+0.5*(3*((S$4-1)/9)^2-2*((S$4-1)/9)^3)),$E24+($F24-$E24)*(0.5*((S$4-10)/10)+0.5*(3*((S$4-10)/10)^2-2*((S$4-10)/10)^3))),0)</f>
        <v>41</v>
      </c>
      <c r="T24" s="3" t="n">
        <f aca="false">ROUND(IF(T$4&lt;=10,$D24+($E24-$D24)*(0.5*((T$4-1)/9)+0.5*(3*((T$4-1)/9)^2-2*((T$4-1)/9)^3)),$E24+($F24-$E24)*(0.5*((T$4-10)/10)+0.5*(3*((T$4-10)/10)^2-2*((T$4-10)/10)^3))),0)</f>
        <v>44</v>
      </c>
      <c r="U24" s="3" t="n">
        <f aca="false">ROUND(IF(U$4&lt;=10,$D24+($E24-$D24)*(0.5*((U$4-1)/9)+0.5*(3*((U$4-1)/9)^2-2*((U$4-1)/9)^3)),$E24+($F24-$E24)*(0.5*((U$4-10)/10)+0.5*(3*((U$4-10)/10)^2-2*((U$4-10)/10)^3))),0)</f>
        <v>48</v>
      </c>
      <c r="V24" s="3" t="n">
        <f aca="false">ROUND(IF(V$4&lt;=10,$D24+($E24-$D24)*(0.5*((V$4-1)/9)+0.5*(3*((V$4-1)/9)^2-2*((V$4-1)/9)^3)),$E24+($F24-$E24)*(0.5*((V$4-10)/10)+0.5*(3*((V$4-10)/10)^2-2*((V$4-10)/10)^3))),0)</f>
        <v>51</v>
      </c>
      <c r="W24" s="3" t="n">
        <f aca="false">ROUND(IF(W$4&lt;=10,$D24+($E24-$D24)*(0.5*((W$4-1)/9)+0.5*(3*((W$4-1)/9)^2-2*((W$4-1)/9)^3)),$E24+($F24-$E24)*(0.5*((W$4-10)/10)+0.5*(3*((W$4-10)/10)^2-2*((W$4-10)/10)^3))),0)</f>
        <v>54</v>
      </c>
      <c r="X24" s="3" t="n">
        <f aca="false">ROUND(IF(X$4&lt;=10,$D24+($E24-$D24)*(0.5*((X$4-1)/9)+0.5*(3*((X$4-1)/9)^2-2*((X$4-1)/9)^3)),$E24+($F24-$E24)*(0.5*((X$4-10)/10)+0.5*(3*((X$4-10)/10)^2-2*((X$4-10)/10)^3))),0)</f>
        <v>56</v>
      </c>
      <c r="Y24" s="3" t="n">
        <f aca="false">ROUND(IF(Y$4&lt;=10,$D24+($E24-$D24)*(0.5*((Y$4-1)/9)+0.5*(3*((Y$4-1)/9)^2-2*((Y$4-1)/9)^3)),$E24+($F24-$E24)*(0.5*((Y$4-10)/10)+0.5*(3*((Y$4-10)/10)^2-2*((Y$4-10)/10)^3))),0)</f>
        <v>58</v>
      </c>
      <c r="Z24" s="3" t="n">
        <f aca="false">ROUND(IF(Z$4&lt;=10,$D24+($E24-$D24)*(0.5*((Z$4-1)/9)+0.5*(3*((Z$4-1)/9)^2-2*((Z$4-1)/9)^3)),$E24+($F24-$E24)*(0.5*((Z$4-10)/10)+0.5*(3*((Z$4-10)/10)^2-2*((Z$4-10)/10)^3))),0)</f>
        <v>60</v>
      </c>
    </row>
    <row r="25" customFormat="false" ht="15" hidden="false" customHeight="true" outlineLevel="0" collapsed="false">
      <c r="A25" s="3" t="s">
        <v>76</v>
      </c>
      <c r="B25" s="3" t="s">
        <v>77</v>
      </c>
      <c r="C25" s="3" t="s">
        <v>49</v>
      </c>
      <c r="D25" s="5" t="n">
        <v>600</v>
      </c>
      <c r="E25" s="5" t="n">
        <v>1450</v>
      </c>
      <c r="F25" s="10" t="n">
        <v>2700</v>
      </c>
      <c r="G25" s="3" t="n">
        <f aca="false">ROUND(IF(G$4&lt;=10,$D25+($E25-$D25)*(0.5*((G$4-1)/9)+0.5*(3*((G$4-1)/9)^2-2*((G$4-1)/9)^3)),$E25+($F25-$E25)*(0.5*((G$4-10)/10)+0.5*(3*((G$4-10)/10)^2-2*((G$4-10)/10)^3))),0)</f>
        <v>600</v>
      </c>
      <c r="H25" s="3" t="n">
        <f aca="false">ROUND(IF(H$4&lt;=10,$D25+($E25-$D25)*(0.5*((H$4-1)/9)+0.5*(3*((H$4-1)/9)^2-2*((H$4-1)/9)^3)),$E25+($F25-$E25)*(0.5*((H$4-10)/10)+0.5*(3*((H$4-10)/10)^2-2*((H$4-10)/10)^3))),0)</f>
        <v>662</v>
      </c>
      <c r="I25" s="3" t="n">
        <f aca="false">ROUND(IF(I$4&lt;=10,$D25+($E25-$D25)*(0.5*((I$4-1)/9)+0.5*(3*((I$4-1)/9)^2-2*((I$4-1)/9)^3)),$E25+($F25-$E25)*(0.5*((I$4-10)/10)+0.5*(3*((I$4-10)/10)^2-2*((I$4-10)/10)^3))),0)</f>
        <v>748</v>
      </c>
      <c r="J25" s="3" t="n">
        <f aca="false">ROUND(IF(J$4&lt;=10,$D25+($E25-$D25)*(0.5*((J$4-1)/9)+0.5*(3*((J$4-1)/9)^2-2*((J$4-1)/9)^3)),$E25+($F25-$E25)*(0.5*((J$4-10)/10)+0.5*(3*((J$4-10)/10)^2-2*((J$4-10)/10)^3))),0)</f>
        <v>852</v>
      </c>
      <c r="K25" s="3" t="n">
        <f aca="false">ROUND(IF(K$4&lt;=10,$D25+($E25-$D25)*(0.5*((K$4-1)/9)+0.5*(3*((K$4-1)/9)^2-2*((K$4-1)/9)^3)),$E25+($F25-$E25)*(0.5*((K$4-10)/10)+0.5*(3*((K$4-10)/10)^2-2*((K$4-10)/10)^3))),0)</f>
        <v>966</v>
      </c>
      <c r="L25" s="3" t="n">
        <f aca="false">ROUND(IF(L$4&lt;=10,$D25+($E25-$D25)*(0.5*((L$4-1)/9)+0.5*(3*((L$4-1)/9)^2-2*((L$4-1)/9)^3)),$E25+($F25-$E25)*(0.5*((L$4-10)/10)+0.5*(3*((L$4-10)/10)^2-2*((L$4-10)/10)^3))),0)</f>
        <v>1084</v>
      </c>
      <c r="M25" s="3" t="n">
        <f aca="false">ROUND(IF(M$4&lt;=10,$D25+($E25-$D25)*(0.5*((M$4-1)/9)+0.5*(3*((M$4-1)/9)^2-2*((M$4-1)/9)^3)),$E25+($F25-$E25)*(0.5*((M$4-10)/10)+0.5*(3*((M$4-10)/10)^2-2*((M$4-10)/10)^3))),0)</f>
        <v>1198</v>
      </c>
      <c r="N25" s="3" t="n">
        <f aca="false">ROUND(IF(N$4&lt;=10,$D25+($E25-$D25)*(0.5*((N$4-1)/9)+0.5*(3*((N$4-1)/9)^2-2*((N$4-1)/9)^3)),$E25+($F25-$E25)*(0.5*((N$4-10)/10)+0.5*(3*((N$4-10)/10)^2-2*((N$4-10)/10)^3))),0)</f>
        <v>1302</v>
      </c>
      <c r="O25" s="3" t="n">
        <f aca="false">ROUND(IF(O$4&lt;=10,$D25+($E25-$D25)*(0.5*((O$4-1)/9)+0.5*(3*((O$4-1)/9)^2-2*((O$4-1)/9)^3)),$E25+($F25-$E25)*(0.5*((O$4-10)/10)+0.5*(3*((O$4-10)/10)^2-2*((O$4-10)/10)^3))),0)</f>
        <v>1388</v>
      </c>
      <c r="P25" s="3" t="n">
        <f aca="false">ROUND(IF(P$4&lt;=10,$D25+($E25-$D25)*(0.5*((P$4-1)/9)+0.5*(3*((P$4-1)/9)^2-2*((P$4-1)/9)^3)),$E25+($F25-$E25)*(0.5*((P$4-10)/10)+0.5*(3*((P$4-10)/10)^2-2*((P$4-10)/10)^3))),0)</f>
        <v>1450</v>
      </c>
      <c r="Q25" s="3" t="n">
        <f aca="false">ROUND(IF(Q$4&lt;=10,$D25+($E25-$D25)*(0.5*((Q$4-1)/9)+0.5*(3*((Q$4-1)/9)^2-2*((Q$4-1)/9)^3)),$E25+($F25-$E25)*(0.5*((Q$4-10)/10)+0.5*(3*((Q$4-10)/10)^2-2*((Q$4-10)/10)^3))),0)</f>
        <v>1530</v>
      </c>
      <c r="R25" s="3" t="n">
        <f aca="false">ROUND(IF(R$4&lt;=10,$D25+($E25-$D25)*(0.5*((R$4-1)/9)+0.5*(3*((R$4-1)/9)^2-2*((R$4-1)/9)^3)),$E25+($F25-$E25)*(0.5*((R$4-10)/10)+0.5*(3*((R$4-10)/10)^2-2*((R$4-10)/10)^3))),0)</f>
        <v>1640</v>
      </c>
      <c r="S25" s="3" t="n">
        <f aca="false">ROUND(IF(S$4&lt;=10,$D25+($E25-$D25)*(0.5*((S$4-1)/9)+0.5*(3*((S$4-1)/9)^2-2*((S$4-1)/9)^3)),$E25+($F25-$E25)*(0.5*((S$4-10)/10)+0.5*(3*((S$4-10)/10)^2-2*((S$4-10)/10)^3))),0)</f>
        <v>1773</v>
      </c>
      <c r="T25" s="3" t="n">
        <f aca="false">ROUND(IF(T$4&lt;=10,$D25+($E25-$D25)*(0.5*((T$4-1)/9)+0.5*(3*((T$4-1)/9)^2-2*((T$4-1)/9)^3)),$E25+($F25-$E25)*(0.5*((T$4-10)/10)+0.5*(3*((T$4-10)/10)^2-2*((T$4-10)/10)^3))),0)</f>
        <v>1920</v>
      </c>
      <c r="U25" s="3" t="n">
        <f aca="false">ROUND(IF(U$4&lt;=10,$D25+($E25-$D25)*(0.5*((U$4-1)/9)+0.5*(3*((U$4-1)/9)^2-2*((U$4-1)/9)^3)),$E25+($F25-$E25)*(0.5*((U$4-10)/10)+0.5*(3*((U$4-10)/10)^2-2*((U$4-10)/10)^3))),0)</f>
        <v>2075</v>
      </c>
      <c r="V25" s="3" t="n">
        <f aca="false">ROUND(IF(V$4&lt;=10,$D25+($E25-$D25)*(0.5*((V$4-1)/9)+0.5*(3*((V$4-1)/9)^2-2*((V$4-1)/9)^3)),$E25+($F25-$E25)*(0.5*((V$4-10)/10)+0.5*(3*((V$4-10)/10)^2-2*((V$4-10)/10)^3))),0)</f>
        <v>2230</v>
      </c>
      <c r="W25" s="3" t="n">
        <f aca="false">ROUND(IF(W$4&lt;=10,$D25+($E25-$D25)*(0.5*((W$4-1)/9)+0.5*(3*((W$4-1)/9)^2-2*((W$4-1)/9)^3)),$E25+($F25-$E25)*(0.5*((W$4-10)/10)+0.5*(3*((W$4-10)/10)^2-2*((W$4-10)/10)^3))),0)</f>
        <v>2378</v>
      </c>
      <c r="X25" s="3" t="n">
        <f aca="false">ROUND(IF(X$4&lt;=10,$D25+($E25-$D25)*(0.5*((X$4-1)/9)+0.5*(3*((X$4-1)/9)^2-2*((X$4-1)/9)^3)),$E25+($F25-$E25)*(0.5*((X$4-10)/10)+0.5*(3*((X$4-10)/10)^2-2*((X$4-10)/10)^3))),0)</f>
        <v>2510</v>
      </c>
      <c r="Y25" s="3" t="n">
        <f aca="false">ROUND(IF(Y$4&lt;=10,$D25+($E25-$D25)*(0.5*((Y$4-1)/9)+0.5*(3*((Y$4-1)/9)^2-2*((Y$4-1)/9)^3)),$E25+($F25-$E25)*(0.5*((Y$4-10)/10)+0.5*(3*((Y$4-10)/10)^2-2*((Y$4-10)/10)^3))),0)</f>
        <v>2620</v>
      </c>
      <c r="Z25" s="3" t="n">
        <f aca="false">ROUND(IF(Z$4&lt;=10,$D25+($E25-$D25)*(0.5*((Z$4-1)/9)+0.5*(3*((Z$4-1)/9)^2-2*((Z$4-1)/9)^3)),$E25+($F25-$E25)*(0.5*((Z$4-10)/10)+0.5*(3*((Z$4-10)/10)^2-2*((Z$4-10)/10)^3))),0)</f>
        <v>2700</v>
      </c>
    </row>
    <row r="26" customFormat="false" ht="15" hidden="false" customHeight="true" outlineLevel="0" collapsed="false">
      <c r="A26" s="3" t="s">
        <v>78</v>
      </c>
      <c r="B26" s="3" t="s">
        <v>77</v>
      </c>
      <c r="C26" s="3" t="s">
        <v>51</v>
      </c>
      <c r="D26" s="5" t="n">
        <v>40</v>
      </c>
      <c r="E26" s="5" t="n">
        <v>140</v>
      </c>
      <c r="F26" s="5" t="n">
        <v>260</v>
      </c>
      <c r="G26" s="3" t="n">
        <f aca="false">ROUND(IF(G$4&lt;=10,$D26+($E26-$D26)*(0.5*((G$4-1)/9)+0.5*(3*((G$4-1)/9)^2-2*((G$4-1)/9)^3)),$E26+($F26-$E26)*(0.5*((G$4-10)/10)+0.5*(3*((G$4-10)/10)^2-2*((G$4-10)/10)^3))),0)</f>
        <v>40</v>
      </c>
      <c r="H26" s="3" t="n">
        <f aca="false">ROUND(IF(H$4&lt;=10,$D26+($E26-$D26)*(0.5*((H$4-1)/9)+0.5*(3*((H$4-1)/9)^2-2*((H$4-1)/9)^3)),$E26+($F26-$E26)*(0.5*((H$4-10)/10)+0.5*(3*((H$4-10)/10)^2-2*((H$4-10)/10)^3))),0)</f>
        <v>47</v>
      </c>
      <c r="I26" s="3" t="n">
        <f aca="false">ROUND(IF(I$4&lt;=10,$D26+($E26-$D26)*(0.5*((I$4-1)/9)+0.5*(3*((I$4-1)/9)^2-2*((I$4-1)/9)^3)),$E26+($F26-$E26)*(0.5*((I$4-10)/10)+0.5*(3*((I$4-10)/10)^2-2*((I$4-10)/10)^3))),0)</f>
        <v>57</v>
      </c>
      <c r="J26" s="3" t="n">
        <f aca="false">ROUND(IF(J$4&lt;=10,$D26+($E26-$D26)*(0.5*((J$4-1)/9)+0.5*(3*((J$4-1)/9)^2-2*((J$4-1)/9)^3)),$E26+($F26-$E26)*(0.5*((J$4-10)/10)+0.5*(3*((J$4-10)/10)^2-2*((J$4-10)/10)^3))),0)</f>
        <v>70</v>
      </c>
      <c r="K26" s="3" t="n">
        <f aca="false">ROUND(IF(K$4&lt;=10,$D26+($E26-$D26)*(0.5*((K$4-1)/9)+0.5*(3*((K$4-1)/9)^2-2*((K$4-1)/9)^3)),$E26+($F26-$E26)*(0.5*((K$4-10)/10)+0.5*(3*((K$4-10)/10)^2-2*((K$4-10)/10)^3))),0)</f>
        <v>83</v>
      </c>
      <c r="L26" s="3" t="n">
        <f aca="false">ROUND(IF(L$4&lt;=10,$D26+($E26-$D26)*(0.5*((L$4-1)/9)+0.5*(3*((L$4-1)/9)^2-2*((L$4-1)/9)^3)),$E26+($F26-$E26)*(0.5*((L$4-10)/10)+0.5*(3*((L$4-10)/10)^2-2*((L$4-10)/10)^3))),0)</f>
        <v>97</v>
      </c>
      <c r="M26" s="3" t="n">
        <f aca="false">ROUND(IF(M$4&lt;=10,$D26+($E26-$D26)*(0.5*((M$4-1)/9)+0.5*(3*((M$4-1)/9)^2-2*((M$4-1)/9)^3)),$E26+($F26-$E26)*(0.5*((M$4-10)/10)+0.5*(3*((M$4-10)/10)^2-2*((M$4-10)/10)^3))),0)</f>
        <v>110</v>
      </c>
      <c r="N26" s="3" t="n">
        <f aca="false">ROUND(IF(N$4&lt;=10,$D26+($E26-$D26)*(0.5*((N$4-1)/9)+0.5*(3*((N$4-1)/9)^2-2*((N$4-1)/9)^3)),$E26+($F26-$E26)*(0.5*((N$4-10)/10)+0.5*(3*((N$4-10)/10)^2-2*((N$4-10)/10)^3))),0)</f>
        <v>123</v>
      </c>
      <c r="O26" s="3" t="n">
        <f aca="false">ROUND(IF(O$4&lt;=10,$D26+($E26-$D26)*(0.5*((O$4-1)/9)+0.5*(3*((O$4-1)/9)^2-2*((O$4-1)/9)^3)),$E26+($F26-$E26)*(0.5*((O$4-10)/10)+0.5*(3*((O$4-10)/10)^2-2*((O$4-10)/10)^3))),0)</f>
        <v>133</v>
      </c>
      <c r="P26" s="3" t="n">
        <f aca="false">ROUND(IF(P$4&lt;=10,$D26+($E26-$D26)*(0.5*((P$4-1)/9)+0.5*(3*((P$4-1)/9)^2-2*((P$4-1)/9)^3)),$E26+($F26-$E26)*(0.5*((P$4-10)/10)+0.5*(3*((P$4-10)/10)^2-2*((P$4-10)/10)^3))),0)</f>
        <v>140</v>
      </c>
      <c r="Q26" s="3" t="n">
        <f aca="false">ROUND(IF(Q$4&lt;=10,$D26+($E26-$D26)*(0.5*((Q$4-1)/9)+0.5*(3*((Q$4-1)/9)^2-2*((Q$4-1)/9)^3)),$E26+($F26-$E26)*(0.5*((Q$4-10)/10)+0.5*(3*((Q$4-10)/10)^2-2*((Q$4-10)/10)^3))),0)</f>
        <v>148</v>
      </c>
      <c r="R26" s="3" t="n">
        <f aca="false">ROUND(IF(R$4&lt;=10,$D26+($E26-$D26)*(0.5*((R$4-1)/9)+0.5*(3*((R$4-1)/9)^2-2*((R$4-1)/9)^3)),$E26+($F26-$E26)*(0.5*((R$4-10)/10)+0.5*(3*((R$4-10)/10)^2-2*((R$4-10)/10)^3))),0)</f>
        <v>158</v>
      </c>
      <c r="S26" s="3" t="n">
        <f aca="false">ROUND(IF(S$4&lt;=10,$D26+($E26-$D26)*(0.5*((S$4-1)/9)+0.5*(3*((S$4-1)/9)^2-2*((S$4-1)/9)^3)),$E26+($F26-$E26)*(0.5*((S$4-10)/10)+0.5*(3*((S$4-10)/10)^2-2*((S$4-10)/10)^3))),0)</f>
        <v>171</v>
      </c>
      <c r="T26" s="3" t="n">
        <f aca="false">ROUND(IF(T$4&lt;=10,$D26+($E26-$D26)*(0.5*((T$4-1)/9)+0.5*(3*((T$4-1)/9)^2-2*((T$4-1)/9)^3)),$E26+($F26-$E26)*(0.5*((T$4-10)/10)+0.5*(3*((T$4-10)/10)^2-2*((T$4-10)/10)^3))),0)</f>
        <v>185</v>
      </c>
      <c r="U26" s="3" t="n">
        <f aca="false">ROUND(IF(U$4&lt;=10,$D26+($E26-$D26)*(0.5*((U$4-1)/9)+0.5*(3*((U$4-1)/9)^2-2*((U$4-1)/9)^3)),$E26+($F26-$E26)*(0.5*((U$4-10)/10)+0.5*(3*((U$4-10)/10)^2-2*((U$4-10)/10)^3))),0)</f>
        <v>200</v>
      </c>
      <c r="V26" s="3" t="n">
        <f aca="false">ROUND(IF(V$4&lt;=10,$D26+($E26-$D26)*(0.5*((V$4-1)/9)+0.5*(3*((V$4-1)/9)^2-2*((V$4-1)/9)^3)),$E26+($F26-$E26)*(0.5*((V$4-10)/10)+0.5*(3*((V$4-10)/10)^2-2*((V$4-10)/10)^3))),0)</f>
        <v>215</v>
      </c>
      <c r="W26" s="3" t="n">
        <f aca="false">ROUND(IF(W$4&lt;=10,$D26+($E26-$D26)*(0.5*((W$4-1)/9)+0.5*(3*((W$4-1)/9)^2-2*((W$4-1)/9)^3)),$E26+($F26-$E26)*(0.5*((W$4-10)/10)+0.5*(3*((W$4-10)/10)^2-2*((W$4-10)/10)^3))),0)</f>
        <v>229</v>
      </c>
      <c r="X26" s="3" t="n">
        <f aca="false">ROUND(IF(X$4&lt;=10,$D26+($E26-$D26)*(0.5*((X$4-1)/9)+0.5*(3*((X$4-1)/9)^2-2*((X$4-1)/9)^3)),$E26+($F26-$E26)*(0.5*((X$4-10)/10)+0.5*(3*((X$4-10)/10)^2-2*((X$4-10)/10)^3))),0)</f>
        <v>242</v>
      </c>
      <c r="Y26" s="3" t="n">
        <f aca="false">ROUND(IF(Y$4&lt;=10,$D26+($E26-$D26)*(0.5*((Y$4-1)/9)+0.5*(3*((Y$4-1)/9)^2-2*((Y$4-1)/9)^3)),$E26+($F26-$E26)*(0.5*((Y$4-10)/10)+0.5*(3*((Y$4-10)/10)^2-2*((Y$4-10)/10)^3))),0)</f>
        <v>252</v>
      </c>
      <c r="Z26" s="3" t="n">
        <f aca="false">ROUND(IF(Z$4&lt;=10,$D26+($E26-$D26)*(0.5*((Z$4-1)/9)+0.5*(3*((Z$4-1)/9)^2-2*((Z$4-1)/9)^3)),$E26+($F26-$E26)*(0.5*((Z$4-10)/10)+0.5*(3*((Z$4-10)/10)^2-2*((Z$4-10)/10)^3))),0)</f>
        <v>260</v>
      </c>
    </row>
    <row r="27" customFormat="false" ht="15" hidden="false" customHeight="true" outlineLevel="0" collapsed="false">
      <c r="A27" s="3" t="s">
        <v>79</v>
      </c>
      <c r="B27" s="3" t="s">
        <v>77</v>
      </c>
      <c r="C27" s="3" t="s">
        <v>53</v>
      </c>
      <c r="D27" s="5" t="n">
        <v>100</v>
      </c>
      <c r="E27" s="5" t="n">
        <v>92</v>
      </c>
      <c r="F27" s="5" t="n">
        <v>90</v>
      </c>
      <c r="G27" s="3" t="n">
        <f aca="false">ROUND(IF(G$4&lt;=10,$D27+($E27-$D27)*(0.5*((G$4-1)/9)+0.5*(3*((G$4-1)/9)^2-2*((G$4-1)/9)^3)),$E27+($F27-$E27)*(0.5*((G$4-10)/10)+0.5*(3*((G$4-10)/10)^2-2*((G$4-10)/10)^3))),0)</f>
        <v>100</v>
      </c>
      <c r="H27" s="3" t="n">
        <f aca="false">ROUND(IF(H$4&lt;=10,$D27+($E27-$D27)*(0.5*((H$4-1)/9)+0.5*(3*((H$4-1)/9)^2-2*((H$4-1)/9)^3)),$E27+($F27-$E27)*(0.5*((H$4-10)/10)+0.5*(3*((H$4-10)/10)^2-2*((H$4-10)/10)^3))),0)</f>
        <v>99</v>
      </c>
      <c r="I27" s="3" t="n">
        <f aca="false">ROUND(IF(I$4&lt;=10,$D27+($E27-$D27)*(0.5*((I$4-1)/9)+0.5*(3*((I$4-1)/9)^2-2*((I$4-1)/9)^3)),$E27+($F27-$E27)*(0.5*((I$4-10)/10)+0.5*(3*((I$4-10)/10)^2-2*((I$4-10)/10)^3))),0)</f>
        <v>99</v>
      </c>
      <c r="J27" s="3" t="n">
        <f aca="false">ROUND(IF(J$4&lt;=10,$D27+($E27-$D27)*(0.5*((J$4-1)/9)+0.5*(3*((J$4-1)/9)^2-2*((J$4-1)/9)^3)),$E27+($F27-$E27)*(0.5*((J$4-10)/10)+0.5*(3*((J$4-10)/10)^2-2*((J$4-10)/10)^3))),0)</f>
        <v>98</v>
      </c>
      <c r="K27" s="3" t="n">
        <f aca="false">ROUND(IF(K$4&lt;=10,$D27+($E27-$D27)*(0.5*((K$4-1)/9)+0.5*(3*((K$4-1)/9)^2-2*((K$4-1)/9)^3)),$E27+($F27-$E27)*(0.5*((K$4-10)/10)+0.5*(3*((K$4-10)/10)^2-2*((K$4-10)/10)^3))),0)</f>
        <v>97</v>
      </c>
      <c r="L27" s="3" t="n">
        <f aca="false">ROUND(IF(L$4&lt;=10,$D27+($E27-$D27)*(0.5*((L$4-1)/9)+0.5*(3*((L$4-1)/9)^2-2*((L$4-1)/9)^3)),$E27+($F27-$E27)*(0.5*((L$4-10)/10)+0.5*(3*((L$4-10)/10)^2-2*((L$4-10)/10)^3))),0)</f>
        <v>95</v>
      </c>
      <c r="M27" s="3" t="n">
        <f aca="false">ROUND(IF(M$4&lt;=10,$D27+($E27-$D27)*(0.5*((M$4-1)/9)+0.5*(3*((M$4-1)/9)^2-2*((M$4-1)/9)^3)),$E27+($F27-$E27)*(0.5*((M$4-10)/10)+0.5*(3*((M$4-10)/10)^2-2*((M$4-10)/10)^3))),0)</f>
        <v>94</v>
      </c>
      <c r="N27" s="3" t="n">
        <f aca="false">ROUND(IF(N$4&lt;=10,$D27+($E27-$D27)*(0.5*((N$4-1)/9)+0.5*(3*((N$4-1)/9)^2-2*((N$4-1)/9)^3)),$E27+($F27-$E27)*(0.5*((N$4-10)/10)+0.5*(3*((N$4-10)/10)^2-2*((N$4-10)/10)^3))),0)</f>
        <v>93</v>
      </c>
      <c r="O27" s="3" t="n">
        <f aca="false">ROUND(IF(O$4&lt;=10,$D27+($E27-$D27)*(0.5*((O$4-1)/9)+0.5*(3*((O$4-1)/9)^2-2*((O$4-1)/9)^3)),$E27+($F27-$E27)*(0.5*((O$4-10)/10)+0.5*(3*((O$4-10)/10)^2-2*((O$4-10)/10)^3))),0)</f>
        <v>93</v>
      </c>
      <c r="P27" s="3" t="n">
        <f aca="false">ROUND(IF(P$4&lt;=10,$D27+($E27-$D27)*(0.5*((P$4-1)/9)+0.5*(3*((P$4-1)/9)^2-2*((P$4-1)/9)^3)),$E27+($F27-$E27)*(0.5*((P$4-10)/10)+0.5*(3*((P$4-10)/10)^2-2*((P$4-10)/10)^3))),0)</f>
        <v>92</v>
      </c>
      <c r="Q27" s="3" t="n">
        <f aca="false">ROUND(IF(Q$4&lt;=10,$D27+($E27-$D27)*(0.5*((Q$4-1)/9)+0.5*(3*((Q$4-1)/9)^2-2*((Q$4-1)/9)^3)),$E27+($F27-$E27)*(0.5*((Q$4-10)/10)+0.5*(3*((Q$4-10)/10)^2-2*((Q$4-10)/10)^3))),0)</f>
        <v>92</v>
      </c>
      <c r="R27" s="3" t="n">
        <f aca="false">ROUND(IF(R$4&lt;=10,$D27+($E27-$D27)*(0.5*((R$4-1)/9)+0.5*(3*((R$4-1)/9)^2-2*((R$4-1)/9)^3)),$E27+($F27-$E27)*(0.5*((R$4-10)/10)+0.5*(3*((R$4-10)/10)^2-2*((R$4-10)/10)^3))),0)</f>
        <v>92</v>
      </c>
      <c r="S27" s="3" t="n">
        <f aca="false">ROUND(IF(S$4&lt;=10,$D27+($E27-$D27)*(0.5*((S$4-1)/9)+0.5*(3*((S$4-1)/9)^2-2*((S$4-1)/9)^3)),$E27+($F27-$E27)*(0.5*((S$4-10)/10)+0.5*(3*((S$4-10)/10)^2-2*((S$4-10)/10)^3))),0)</f>
        <v>91</v>
      </c>
      <c r="T27" s="3" t="n">
        <f aca="false">ROUND(IF(T$4&lt;=10,$D27+($E27-$D27)*(0.5*((T$4-1)/9)+0.5*(3*((T$4-1)/9)^2-2*((T$4-1)/9)^3)),$E27+($F27-$E27)*(0.5*((T$4-10)/10)+0.5*(3*((T$4-10)/10)^2-2*((T$4-10)/10)^3))),0)</f>
        <v>91</v>
      </c>
      <c r="U27" s="3" t="n">
        <f aca="false">ROUND(IF(U$4&lt;=10,$D27+($E27-$D27)*(0.5*((U$4-1)/9)+0.5*(3*((U$4-1)/9)^2-2*((U$4-1)/9)^3)),$E27+($F27-$E27)*(0.5*((U$4-10)/10)+0.5*(3*((U$4-10)/10)^2-2*((U$4-10)/10)^3))),0)</f>
        <v>91</v>
      </c>
      <c r="V27" s="3" t="n">
        <f aca="false">ROUND(IF(V$4&lt;=10,$D27+($E27-$D27)*(0.5*((V$4-1)/9)+0.5*(3*((V$4-1)/9)^2-2*((V$4-1)/9)^3)),$E27+($F27-$E27)*(0.5*((V$4-10)/10)+0.5*(3*((V$4-10)/10)^2-2*((V$4-10)/10)^3))),0)</f>
        <v>91</v>
      </c>
      <c r="W27" s="3" t="n">
        <f aca="false">ROUND(IF(W$4&lt;=10,$D27+($E27-$D27)*(0.5*((W$4-1)/9)+0.5*(3*((W$4-1)/9)^2-2*((W$4-1)/9)^3)),$E27+($F27-$E27)*(0.5*((W$4-10)/10)+0.5*(3*((W$4-10)/10)^2-2*((W$4-10)/10)^3))),0)</f>
        <v>91</v>
      </c>
      <c r="X27" s="3" t="n">
        <f aca="false">ROUND(IF(X$4&lt;=10,$D27+($E27-$D27)*(0.5*((X$4-1)/9)+0.5*(3*((X$4-1)/9)^2-2*((X$4-1)/9)^3)),$E27+($F27-$E27)*(0.5*((X$4-10)/10)+0.5*(3*((X$4-10)/10)^2-2*((X$4-10)/10)^3))),0)</f>
        <v>90</v>
      </c>
      <c r="Y27" s="3" t="n">
        <f aca="false">ROUND(IF(Y$4&lt;=10,$D27+($E27-$D27)*(0.5*((Y$4-1)/9)+0.5*(3*((Y$4-1)/9)^2-2*((Y$4-1)/9)^3)),$E27+($F27-$E27)*(0.5*((Y$4-10)/10)+0.5*(3*((Y$4-10)/10)^2-2*((Y$4-10)/10)^3))),0)</f>
        <v>90</v>
      </c>
      <c r="Z27" s="3" t="n">
        <f aca="false">ROUND(IF(Z$4&lt;=10,$D27+($E27-$D27)*(0.5*((Z$4-1)/9)+0.5*(3*((Z$4-1)/9)^2-2*((Z$4-1)/9)^3)),$E27+($F27-$E27)*(0.5*((Z$4-10)/10)+0.5*(3*((Z$4-10)/10)^2-2*((Z$4-10)/10)^3))),0)</f>
        <v>90</v>
      </c>
    </row>
    <row r="28" customFormat="false" ht="15" hidden="false" customHeight="true" outlineLevel="0" collapsed="false">
      <c r="A28" s="3" t="s">
        <v>80</v>
      </c>
      <c r="B28" s="3" t="s">
        <v>77</v>
      </c>
      <c r="C28" s="3" t="s">
        <v>55</v>
      </c>
      <c r="D28" s="5" t="n">
        <v>10</v>
      </c>
      <c r="E28" s="5" t="n">
        <v>45</v>
      </c>
      <c r="F28" s="5" t="n">
        <v>80</v>
      </c>
      <c r="G28" s="3" t="n">
        <f aca="false">ROUND(IF(G$4&lt;=10,$D28+($E28-$D28)*(0.5*((G$4-1)/9)+0.5*(3*((G$4-1)/9)^2-2*((G$4-1)/9)^3)),$E28+($F28-$E28)*(0.5*((G$4-10)/10)+0.5*(3*((G$4-10)/10)^2-2*((G$4-10)/10)^3))),0)</f>
        <v>10</v>
      </c>
      <c r="H28" s="3" t="n">
        <f aca="false">ROUND(IF(H$4&lt;=10,$D28+($E28-$D28)*(0.5*((H$4-1)/9)+0.5*(3*((H$4-1)/9)^2-2*((H$4-1)/9)^3)),$E28+($F28-$E28)*(0.5*((H$4-10)/10)+0.5*(3*((H$4-10)/10)^2-2*((H$4-10)/10)^3))),0)</f>
        <v>13</v>
      </c>
      <c r="I28" s="3" t="n">
        <f aca="false">ROUND(IF(I$4&lt;=10,$D28+($E28-$D28)*(0.5*((I$4-1)/9)+0.5*(3*((I$4-1)/9)^2-2*((I$4-1)/9)^3)),$E28+($F28-$E28)*(0.5*((I$4-10)/10)+0.5*(3*((I$4-10)/10)^2-2*((I$4-10)/10)^3))),0)</f>
        <v>16</v>
      </c>
      <c r="J28" s="3" t="n">
        <f aca="false">ROUND(IF(J$4&lt;=10,$D28+($E28-$D28)*(0.5*((J$4-1)/9)+0.5*(3*((J$4-1)/9)^2-2*((J$4-1)/9)^3)),$E28+($F28-$E28)*(0.5*((J$4-10)/10)+0.5*(3*((J$4-10)/10)^2-2*((J$4-10)/10)^3))),0)</f>
        <v>20</v>
      </c>
      <c r="K28" s="3" t="n">
        <f aca="false">ROUND(IF(K$4&lt;=10,$D28+($E28-$D28)*(0.5*((K$4-1)/9)+0.5*(3*((K$4-1)/9)^2-2*((K$4-1)/9)^3)),$E28+($F28-$E28)*(0.5*((K$4-10)/10)+0.5*(3*((K$4-10)/10)^2-2*((K$4-10)/10)^3))),0)</f>
        <v>25</v>
      </c>
      <c r="L28" s="3" t="n">
        <f aca="false">ROUND(IF(L$4&lt;=10,$D28+($E28-$D28)*(0.5*((L$4-1)/9)+0.5*(3*((L$4-1)/9)^2-2*((L$4-1)/9)^3)),$E28+($F28-$E28)*(0.5*((L$4-10)/10)+0.5*(3*((L$4-10)/10)^2-2*((L$4-10)/10)^3))),0)</f>
        <v>30</v>
      </c>
      <c r="M28" s="3" t="n">
        <f aca="false">ROUND(IF(M$4&lt;=10,$D28+($E28-$D28)*(0.5*((M$4-1)/9)+0.5*(3*((M$4-1)/9)^2-2*((M$4-1)/9)^3)),$E28+($F28-$E28)*(0.5*((M$4-10)/10)+0.5*(3*((M$4-10)/10)^2-2*((M$4-10)/10)^3))),0)</f>
        <v>35</v>
      </c>
      <c r="N28" s="3" t="n">
        <f aca="false">ROUND(IF(N$4&lt;=10,$D28+($E28-$D28)*(0.5*((N$4-1)/9)+0.5*(3*((N$4-1)/9)^2-2*((N$4-1)/9)^3)),$E28+($F28-$E28)*(0.5*((N$4-10)/10)+0.5*(3*((N$4-10)/10)^2-2*((N$4-10)/10)^3))),0)</f>
        <v>39</v>
      </c>
      <c r="O28" s="3" t="n">
        <f aca="false">ROUND(IF(O$4&lt;=10,$D28+($E28-$D28)*(0.5*((O$4-1)/9)+0.5*(3*((O$4-1)/9)^2-2*((O$4-1)/9)^3)),$E28+($F28-$E28)*(0.5*((O$4-10)/10)+0.5*(3*((O$4-10)/10)^2-2*((O$4-10)/10)^3))),0)</f>
        <v>42</v>
      </c>
      <c r="P28" s="3" t="n">
        <f aca="false">ROUND(IF(P$4&lt;=10,$D28+($E28-$D28)*(0.5*((P$4-1)/9)+0.5*(3*((P$4-1)/9)^2-2*((P$4-1)/9)^3)),$E28+($F28-$E28)*(0.5*((P$4-10)/10)+0.5*(3*((P$4-10)/10)^2-2*((P$4-10)/10)^3))),0)</f>
        <v>45</v>
      </c>
      <c r="Q28" s="3" t="n">
        <f aca="false">ROUND(IF(Q$4&lt;=10,$D28+($E28-$D28)*(0.5*((Q$4-1)/9)+0.5*(3*((Q$4-1)/9)^2-2*((Q$4-1)/9)^3)),$E28+($F28-$E28)*(0.5*((Q$4-10)/10)+0.5*(3*((Q$4-10)/10)^2-2*((Q$4-10)/10)^3))),0)</f>
        <v>47</v>
      </c>
      <c r="R28" s="3" t="n">
        <f aca="false">ROUND(IF(R$4&lt;=10,$D28+($E28-$D28)*(0.5*((R$4-1)/9)+0.5*(3*((R$4-1)/9)^2-2*((R$4-1)/9)^3)),$E28+($F28-$E28)*(0.5*((R$4-10)/10)+0.5*(3*((R$4-10)/10)^2-2*((R$4-10)/10)^3))),0)</f>
        <v>50</v>
      </c>
      <c r="S28" s="3" t="n">
        <f aca="false">ROUND(IF(S$4&lt;=10,$D28+($E28-$D28)*(0.5*((S$4-1)/9)+0.5*(3*((S$4-1)/9)^2-2*((S$4-1)/9)^3)),$E28+($F28-$E28)*(0.5*((S$4-10)/10)+0.5*(3*((S$4-10)/10)^2-2*((S$4-10)/10)^3))),0)</f>
        <v>54</v>
      </c>
      <c r="T28" s="3" t="n">
        <f aca="false">ROUND(IF(T$4&lt;=10,$D28+($E28-$D28)*(0.5*((T$4-1)/9)+0.5*(3*((T$4-1)/9)^2-2*((T$4-1)/9)^3)),$E28+($F28-$E28)*(0.5*((T$4-10)/10)+0.5*(3*((T$4-10)/10)^2-2*((T$4-10)/10)^3))),0)</f>
        <v>58</v>
      </c>
      <c r="U28" s="3" t="n">
        <f aca="false">ROUND(IF(U$4&lt;=10,$D28+($E28-$D28)*(0.5*((U$4-1)/9)+0.5*(3*((U$4-1)/9)^2-2*((U$4-1)/9)^3)),$E28+($F28-$E28)*(0.5*((U$4-10)/10)+0.5*(3*((U$4-10)/10)^2-2*((U$4-10)/10)^3))),0)</f>
        <v>63</v>
      </c>
      <c r="V28" s="3" t="n">
        <f aca="false">ROUND(IF(V$4&lt;=10,$D28+($E28-$D28)*(0.5*((V$4-1)/9)+0.5*(3*((V$4-1)/9)^2-2*((V$4-1)/9)^3)),$E28+($F28-$E28)*(0.5*((V$4-10)/10)+0.5*(3*((V$4-10)/10)^2-2*((V$4-10)/10)^3))),0)</f>
        <v>67</v>
      </c>
      <c r="W28" s="3" t="n">
        <f aca="false">ROUND(IF(W$4&lt;=10,$D28+($E28-$D28)*(0.5*((W$4-1)/9)+0.5*(3*((W$4-1)/9)^2-2*((W$4-1)/9)^3)),$E28+($F28-$E28)*(0.5*((W$4-10)/10)+0.5*(3*((W$4-10)/10)^2-2*((W$4-10)/10)^3))),0)</f>
        <v>71</v>
      </c>
      <c r="X28" s="3" t="n">
        <f aca="false">ROUND(IF(X$4&lt;=10,$D28+($E28-$D28)*(0.5*((X$4-1)/9)+0.5*(3*((X$4-1)/9)^2-2*((X$4-1)/9)^3)),$E28+($F28-$E28)*(0.5*((X$4-10)/10)+0.5*(3*((X$4-10)/10)^2-2*((X$4-10)/10)^3))),0)</f>
        <v>75</v>
      </c>
      <c r="Y28" s="3" t="n">
        <f aca="false">ROUND(IF(Y$4&lt;=10,$D28+($E28-$D28)*(0.5*((Y$4-1)/9)+0.5*(3*((Y$4-1)/9)^2-2*((Y$4-1)/9)^3)),$E28+($F28-$E28)*(0.5*((Y$4-10)/10)+0.5*(3*((Y$4-10)/10)^2-2*((Y$4-10)/10)^3))),0)</f>
        <v>78</v>
      </c>
      <c r="Z28" s="3" t="n">
        <f aca="false">ROUND(IF(Z$4&lt;=10,$D28+($E28-$D28)*(0.5*((Z$4-1)/9)+0.5*(3*((Z$4-1)/9)^2-2*((Z$4-1)/9)^3)),$E28+($F28-$E28)*(0.5*((Z$4-10)/10)+0.5*(3*((Z$4-10)/10)^2-2*((Z$4-10)/10)^3))),0)</f>
        <v>80</v>
      </c>
    </row>
    <row r="29" customFormat="false" ht="15" hidden="false" customHeight="true" outlineLevel="0" collapsed="false">
      <c r="A29" s="3" t="s">
        <v>81</v>
      </c>
      <c r="B29" s="3" t="s">
        <v>82</v>
      </c>
      <c r="C29" s="3" t="s">
        <v>49</v>
      </c>
      <c r="D29" s="5" t="n">
        <v>600</v>
      </c>
      <c r="E29" s="5" t="n">
        <v>2200</v>
      </c>
      <c r="F29" s="10" t="n">
        <v>4200</v>
      </c>
      <c r="G29" s="3" t="n">
        <f aca="false">ROUND(IF(G$4&lt;=10,$D29+($E29-$D29)*(0.5*((G$4-1)/9)+0.5*(3*((G$4-1)/9)^2-2*((G$4-1)/9)^3)),$E29+($F29-$E29)*(0.5*((G$4-10)/10)+0.5*(3*((G$4-10)/10)^2-2*((G$4-10)/10)^3))),0)</f>
        <v>600</v>
      </c>
      <c r="H29" s="3" t="n">
        <f aca="false">ROUND(IF(H$4&lt;=10,$D29+($E29-$D29)*(0.5*((H$4-1)/9)+0.5*(3*((H$4-1)/9)^2-2*((H$4-1)/9)^3)),$E29+($F29-$E29)*(0.5*((H$4-10)/10)+0.5*(3*((H$4-10)/10)^2-2*((H$4-10)/10)^3))),0)</f>
        <v>716</v>
      </c>
      <c r="I29" s="3" t="n">
        <f aca="false">ROUND(IF(I$4&lt;=10,$D29+($E29-$D29)*(0.5*((I$4-1)/9)+0.5*(3*((I$4-1)/9)^2-2*((I$4-1)/9)^3)),$E29+($F29-$E29)*(0.5*((I$4-10)/10)+0.5*(3*((I$4-10)/10)^2-2*((I$4-10)/10)^3))),0)</f>
        <v>879</v>
      </c>
      <c r="J29" s="3" t="n">
        <f aca="false">ROUND(IF(J$4&lt;=10,$D29+($E29-$D29)*(0.5*((J$4-1)/9)+0.5*(3*((J$4-1)/9)^2-2*((J$4-1)/9)^3)),$E29+($F29-$E29)*(0.5*((J$4-10)/10)+0.5*(3*((J$4-10)/10)^2-2*((J$4-10)/10)^3))),0)</f>
        <v>1074</v>
      </c>
      <c r="K29" s="3" t="n">
        <f aca="false">ROUND(IF(K$4&lt;=10,$D29+($E29-$D29)*(0.5*((K$4-1)/9)+0.5*(3*((K$4-1)/9)^2-2*((K$4-1)/9)^3)),$E29+($F29-$E29)*(0.5*((K$4-10)/10)+0.5*(3*((K$4-10)/10)^2-2*((K$4-10)/10)^3))),0)</f>
        <v>1289</v>
      </c>
      <c r="L29" s="3" t="n">
        <f aca="false">ROUND(IF(L$4&lt;=10,$D29+($E29-$D29)*(0.5*((L$4-1)/9)+0.5*(3*((L$4-1)/9)^2-2*((L$4-1)/9)^3)),$E29+($F29-$E29)*(0.5*((L$4-10)/10)+0.5*(3*((L$4-10)/10)^2-2*((L$4-10)/10)^3))),0)</f>
        <v>1511</v>
      </c>
      <c r="M29" s="3" t="n">
        <f aca="false">ROUND(IF(M$4&lt;=10,$D29+($E29-$D29)*(0.5*((M$4-1)/9)+0.5*(3*((M$4-1)/9)^2-2*((M$4-1)/9)^3)),$E29+($F29-$E29)*(0.5*((M$4-10)/10)+0.5*(3*((M$4-10)/10)^2-2*((M$4-10)/10)^3))),0)</f>
        <v>1726</v>
      </c>
      <c r="N29" s="3" t="n">
        <f aca="false">ROUND(IF(N$4&lt;=10,$D29+($E29-$D29)*(0.5*((N$4-1)/9)+0.5*(3*((N$4-1)/9)^2-2*((N$4-1)/9)^3)),$E29+($F29-$E29)*(0.5*((N$4-10)/10)+0.5*(3*((N$4-10)/10)^2-2*((N$4-10)/10)^3))),0)</f>
        <v>1921</v>
      </c>
      <c r="O29" s="3" t="n">
        <f aca="false">ROUND(IF(O$4&lt;=10,$D29+($E29-$D29)*(0.5*((O$4-1)/9)+0.5*(3*((O$4-1)/9)^2-2*((O$4-1)/9)^3)),$E29+($F29-$E29)*(0.5*((O$4-10)/10)+0.5*(3*((O$4-10)/10)^2-2*((O$4-10)/10)^3))),0)</f>
        <v>2084</v>
      </c>
      <c r="P29" s="3" t="n">
        <f aca="false">ROUND(IF(P$4&lt;=10,$D29+($E29-$D29)*(0.5*((P$4-1)/9)+0.5*(3*((P$4-1)/9)^2-2*((P$4-1)/9)^3)),$E29+($F29-$E29)*(0.5*((P$4-10)/10)+0.5*(3*((P$4-10)/10)^2-2*((P$4-10)/10)^3))),0)</f>
        <v>2200</v>
      </c>
      <c r="Q29" s="3" t="n">
        <f aca="false">ROUND(IF(Q$4&lt;=10,$D29+($E29-$D29)*(0.5*((Q$4-1)/9)+0.5*(3*((Q$4-1)/9)^2-2*((Q$4-1)/9)^3)),$E29+($F29-$E29)*(0.5*((Q$4-10)/10)+0.5*(3*((Q$4-10)/10)^2-2*((Q$4-10)/10)^3))),0)</f>
        <v>2328</v>
      </c>
      <c r="R29" s="3" t="n">
        <f aca="false">ROUND(IF(R$4&lt;=10,$D29+($E29-$D29)*(0.5*((R$4-1)/9)+0.5*(3*((R$4-1)/9)^2-2*((R$4-1)/9)^3)),$E29+($F29-$E29)*(0.5*((R$4-10)/10)+0.5*(3*((R$4-10)/10)^2-2*((R$4-10)/10)^3))),0)</f>
        <v>2504</v>
      </c>
      <c r="S29" s="3" t="n">
        <f aca="false">ROUND(IF(S$4&lt;=10,$D29+($E29-$D29)*(0.5*((S$4-1)/9)+0.5*(3*((S$4-1)/9)^2-2*((S$4-1)/9)^3)),$E29+($F29-$E29)*(0.5*((S$4-10)/10)+0.5*(3*((S$4-10)/10)^2-2*((S$4-10)/10)^3))),0)</f>
        <v>2716</v>
      </c>
      <c r="T29" s="3" t="n">
        <f aca="false">ROUND(IF(T$4&lt;=10,$D29+($E29-$D29)*(0.5*((T$4-1)/9)+0.5*(3*((T$4-1)/9)^2-2*((T$4-1)/9)^3)),$E29+($F29-$E29)*(0.5*((T$4-10)/10)+0.5*(3*((T$4-10)/10)^2-2*((T$4-10)/10)^3))),0)</f>
        <v>2952</v>
      </c>
      <c r="U29" s="3" t="n">
        <f aca="false">ROUND(IF(U$4&lt;=10,$D29+($E29-$D29)*(0.5*((U$4-1)/9)+0.5*(3*((U$4-1)/9)^2-2*((U$4-1)/9)^3)),$E29+($F29-$E29)*(0.5*((U$4-10)/10)+0.5*(3*((U$4-10)/10)^2-2*((U$4-10)/10)^3))),0)</f>
        <v>3200</v>
      </c>
      <c r="V29" s="3" t="n">
        <f aca="false">ROUND(IF(V$4&lt;=10,$D29+($E29-$D29)*(0.5*((V$4-1)/9)+0.5*(3*((V$4-1)/9)^2-2*((V$4-1)/9)^3)),$E29+($F29-$E29)*(0.5*((V$4-10)/10)+0.5*(3*((V$4-10)/10)^2-2*((V$4-10)/10)^3))),0)</f>
        <v>3448</v>
      </c>
      <c r="W29" s="3" t="n">
        <f aca="false">ROUND(IF(W$4&lt;=10,$D29+($E29-$D29)*(0.5*((W$4-1)/9)+0.5*(3*((W$4-1)/9)^2-2*((W$4-1)/9)^3)),$E29+($F29-$E29)*(0.5*((W$4-10)/10)+0.5*(3*((W$4-10)/10)^2-2*((W$4-10)/10)^3))),0)</f>
        <v>3684</v>
      </c>
      <c r="X29" s="3" t="n">
        <f aca="false">ROUND(IF(X$4&lt;=10,$D29+($E29-$D29)*(0.5*((X$4-1)/9)+0.5*(3*((X$4-1)/9)^2-2*((X$4-1)/9)^3)),$E29+($F29-$E29)*(0.5*((X$4-10)/10)+0.5*(3*((X$4-10)/10)^2-2*((X$4-10)/10)^3))),0)</f>
        <v>3896</v>
      </c>
      <c r="Y29" s="3" t="n">
        <f aca="false">ROUND(IF(Y$4&lt;=10,$D29+($E29-$D29)*(0.5*((Y$4-1)/9)+0.5*(3*((Y$4-1)/9)^2-2*((Y$4-1)/9)^3)),$E29+($F29-$E29)*(0.5*((Y$4-10)/10)+0.5*(3*((Y$4-10)/10)^2-2*((Y$4-10)/10)^3))),0)</f>
        <v>4072</v>
      </c>
      <c r="Z29" s="3" t="n">
        <f aca="false">ROUND(IF(Z$4&lt;=10,$D29+($E29-$D29)*(0.5*((Z$4-1)/9)+0.5*(3*((Z$4-1)/9)^2-2*((Z$4-1)/9)^3)),$E29+($F29-$E29)*(0.5*((Z$4-10)/10)+0.5*(3*((Z$4-10)/10)^2-2*((Z$4-10)/10)^3))),0)</f>
        <v>4200</v>
      </c>
    </row>
    <row r="30" customFormat="false" ht="15" hidden="false" customHeight="true" outlineLevel="0" collapsed="false">
      <c r="A30" s="3" t="s">
        <v>83</v>
      </c>
      <c r="B30" s="3" t="s">
        <v>82</v>
      </c>
      <c r="C30" s="3" t="s">
        <v>51</v>
      </c>
      <c r="D30" s="5" t="n">
        <v>40</v>
      </c>
      <c r="E30" s="5" t="n">
        <v>85</v>
      </c>
      <c r="F30" s="5" t="n">
        <v>150</v>
      </c>
      <c r="G30" s="3" t="n">
        <f aca="false">ROUND(IF(G$4&lt;=10,$D30+($E30-$D30)*(0.5*((G$4-1)/9)+0.5*(3*((G$4-1)/9)^2-2*((G$4-1)/9)^3)),$E30+($F30-$E30)*(0.5*((G$4-10)/10)+0.5*(3*((G$4-10)/10)^2-2*((G$4-10)/10)^3))),0)</f>
        <v>40</v>
      </c>
      <c r="H30" s="3" t="n">
        <f aca="false">ROUND(IF(H$4&lt;=10,$D30+($E30-$D30)*(0.5*((H$4-1)/9)+0.5*(3*((H$4-1)/9)^2-2*((H$4-1)/9)^3)),$E30+($F30-$E30)*(0.5*((H$4-10)/10)+0.5*(3*((H$4-10)/10)^2-2*((H$4-10)/10)^3))),0)</f>
        <v>43</v>
      </c>
      <c r="I30" s="3" t="n">
        <f aca="false">ROUND(IF(I$4&lt;=10,$D30+($E30-$D30)*(0.5*((I$4-1)/9)+0.5*(3*((I$4-1)/9)^2-2*((I$4-1)/9)^3)),$E30+($F30-$E30)*(0.5*((I$4-10)/10)+0.5*(3*((I$4-10)/10)^2-2*((I$4-10)/10)^3))),0)</f>
        <v>48</v>
      </c>
      <c r="J30" s="3" t="n">
        <f aca="false">ROUND(IF(J$4&lt;=10,$D30+($E30-$D30)*(0.5*((J$4-1)/9)+0.5*(3*((J$4-1)/9)^2-2*((J$4-1)/9)^3)),$E30+($F30-$E30)*(0.5*((J$4-10)/10)+0.5*(3*((J$4-10)/10)^2-2*((J$4-10)/10)^3))),0)</f>
        <v>53</v>
      </c>
      <c r="K30" s="3" t="n">
        <f aca="false">ROUND(IF(K$4&lt;=10,$D30+($E30-$D30)*(0.5*((K$4-1)/9)+0.5*(3*((K$4-1)/9)^2-2*((K$4-1)/9)^3)),$E30+($F30-$E30)*(0.5*((K$4-10)/10)+0.5*(3*((K$4-10)/10)^2-2*((K$4-10)/10)^3))),0)</f>
        <v>59</v>
      </c>
      <c r="L30" s="3" t="n">
        <f aca="false">ROUND(IF(L$4&lt;=10,$D30+($E30-$D30)*(0.5*((L$4-1)/9)+0.5*(3*((L$4-1)/9)^2-2*((L$4-1)/9)^3)),$E30+($F30-$E30)*(0.5*((L$4-10)/10)+0.5*(3*((L$4-10)/10)^2-2*((L$4-10)/10)^3))),0)</f>
        <v>66</v>
      </c>
      <c r="M30" s="3" t="n">
        <f aca="false">ROUND(IF(M$4&lt;=10,$D30+($E30-$D30)*(0.5*((M$4-1)/9)+0.5*(3*((M$4-1)/9)^2-2*((M$4-1)/9)^3)),$E30+($F30-$E30)*(0.5*((M$4-10)/10)+0.5*(3*((M$4-10)/10)^2-2*((M$4-10)/10)^3))),0)</f>
        <v>72</v>
      </c>
      <c r="N30" s="3" t="n">
        <f aca="false">ROUND(IF(N$4&lt;=10,$D30+($E30-$D30)*(0.5*((N$4-1)/9)+0.5*(3*((N$4-1)/9)^2-2*((N$4-1)/9)^3)),$E30+($F30-$E30)*(0.5*((N$4-10)/10)+0.5*(3*((N$4-10)/10)^2-2*((N$4-10)/10)^3))),0)</f>
        <v>77</v>
      </c>
      <c r="O30" s="3" t="n">
        <f aca="false">ROUND(IF(O$4&lt;=10,$D30+($E30-$D30)*(0.5*((O$4-1)/9)+0.5*(3*((O$4-1)/9)^2-2*((O$4-1)/9)^3)),$E30+($F30-$E30)*(0.5*((O$4-10)/10)+0.5*(3*((O$4-10)/10)^2-2*((O$4-10)/10)^3))),0)</f>
        <v>82</v>
      </c>
      <c r="P30" s="3" t="n">
        <f aca="false">ROUND(IF(P$4&lt;=10,$D30+($E30-$D30)*(0.5*((P$4-1)/9)+0.5*(3*((P$4-1)/9)^2-2*((P$4-1)/9)^3)),$E30+($F30-$E30)*(0.5*((P$4-10)/10)+0.5*(3*((P$4-10)/10)^2-2*((P$4-10)/10)^3))),0)</f>
        <v>85</v>
      </c>
      <c r="Q30" s="3" t="n">
        <f aca="false">ROUND(IF(Q$4&lt;=10,$D30+($E30-$D30)*(0.5*((Q$4-1)/9)+0.5*(3*((Q$4-1)/9)^2-2*((Q$4-1)/9)^3)),$E30+($F30-$E30)*(0.5*((Q$4-10)/10)+0.5*(3*((Q$4-10)/10)^2-2*((Q$4-10)/10)^3))),0)</f>
        <v>89</v>
      </c>
      <c r="R30" s="3" t="n">
        <f aca="false">ROUND(IF(R$4&lt;=10,$D30+($E30-$D30)*(0.5*((R$4-1)/9)+0.5*(3*((R$4-1)/9)^2-2*((R$4-1)/9)^3)),$E30+($F30-$E30)*(0.5*((R$4-10)/10)+0.5*(3*((R$4-10)/10)^2-2*((R$4-10)/10)^3))),0)</f>
        <v>95</v>
      </c>
      <c r="S30" s="3" t="n">
        <f aca="false">ROUND(IF(S$4&lt;=10,$D30+($E30-$D30)*(0.5*((S$4-1)/9)+0.5*(3*((S$4-1)/9)^2-2*((S$4-1)/9)^3)),$E30+($F30-$E30)*(0.5*((S$4-10)/10)+0.5*(3*((S$4-10)/10)^2-2*((S$4-10)/10)^3))),0)</f>
        <v>102</v>
      </c>
      <c r="T30" s="3" t="n">
        <f aca="false">ROUND(IF(T$4&lt;=10,$D30+($E30-$D30)*(0.5*((T$4-1)/9)+0.5*(3*((T$4-1)/9)^2-2*((T$4-1)/9)^3)),$E30+($F30-$E30)*(0.5*((T$4-10)/10)+0.5*(3*((T$4-10)/10)^2-2*((T$4-10)/10)^3))),0)</f>
        <v>109</v>
      </c>
      <c r="U30" s="3" t="n">
        <f aca="false">ROUND(IF(U$4&lt;=10,$D30+($E30-$D30)*(0.5*((U$4-1)/9)+0.5*(3*((U$4-1)/9)^2-2*((U$4-1)/9)^3)),$E30+($F30-$E30)*(0.5*((U$4-10)/10)+0.5*(3*((U$4-10)/10)^2-2*((U$4-10)/10)^3))),0)</f>
        <v>118</v>
      </c>
      <c r="V30" s="3" t="n">
        <f aca="false">ROUND(IF(V$4&lt;=10,$D30+($E30-$D30)*(0.5*((V$4-1)/9)+0.5*(3*((V$4-1)/9)^2-2*((V$4-1)/9)^3)),$E30+($F30-$E30)*(0.5*((V$4-10)/10)+0.5*(3*((V$4-10)/10)^2-2*((V$4-10)/10)^3))),0)</f>
        <v>126</v>
      </c>
      <c r="W30" s="3" t="n">
        <f aca="false">ROUND(IF(W$4&lt;=10,$D30+($E30-$D30)*(0.5*((W$4-1)/9)+0.5*(3*((W$4-1)/9)^2-2*((W$4-1)/9)^3)),$E30+($F30-$E30)*(0.5*((W$4-10)/10)+0.5*(3*((W$4-10)/10)^2-2*((W$4-10)/10)^3))),0)</f>
        <v>133</v>
      </c>
      <c r="X30" s="3" t="n">
        <f aca="false">ROUND(IF(X$4&lt;=10,$D30+($E30-$D30)*(0.5*((X$4-1)/9)+0.5*(3*((X$4-1)/9)^2-2*((X$4-1)/9)^3)),$E30+($F30-$E30)*(0.5*((X$4-10)/10)+0.5*(3*((X$4-10)/10)^2-2*((X$4-10)/10)^3))),0)</f>
        <v>140</v>
      </c>
      <c r="Y30" s="3" t="n">
        <f aca="false">ROUND(IF(Y$4&lt;=10,$D30+($E30-$D30)*(0.5*((Y$4-1)/9)+0.5*(3*((Y$4-1)/9)^2-2*((Y$4-1)/9)^3)),$E30+($F30-$E30)*(0.5*((Y$4-10)/10)+0.5*(3*((Y$4-10)/10)^2-2*((Y$4-10)/10)^3))),0)</f>
        <v>146</v>
      </c>
      <c r="Z30" s="3" t="n">
        <f aca="false">ROUND(IF(Z$4&lt;=10,$D30+($E30-$D30)*(0.5*((Z$4-1)/9)+0.5*(3*((Z$4-1)/9)^2-2*((Z$4-1)/9)^3)),$E30+($F30-$E30)*(0.5*((Z$4-10)/10)+0.5*(3*((Z$4-10)/10)^2-2*((Z$4-10)/10)^3))),0)</f>
        <v>150</v>
      </c>
    </row>
    <row r="31" customFormat="false" ht="15" hidden="false" customHeight="true" outlineLevel="0" collapsed="false">
      <c r="A31" s="3" t="s">
        <v>84</v>
      </c>
      <c r="B31" s="3" t="s">
        <v>82</v>
      </c>
      <c r="C31" s="3" t="s">
        <v>53</v>
      </c>
      <c r="D31" s="5" t="n">
        <v>100</v>
      </c>
      <c r="E31" s="5" t="n">
        <v>90</v>
      </c>
      <c r="F31" s="5" t="n">
        <v>90</v>
      </c>
      <c r="G31" s="3" t="n">
        <f aca="false">ROUND(IF(G$4&lt;=10,$D31+($E31-$D31)*(0.5*((G$4-1)/9)+0.5*(3*((G$4-1)/9)^2-2*((G$4-1)/9)^3)),$E31+($F31-$E31)*(0.5*((G$4-10)/10)+0.5*(3*((G$4-10)/10)^2-2*((G$4-10)/10)^3))),0)</f>
        <v>100</v>
      </c>
      <c r="H31" s="3" t="n">
        <f aca="false">ROUND(IF(H$4&lt;=10,$D31+($E31-$D31)*(0.5*((H$4-1)/9)+0.5*(3*((H$4-1)/9)^2-2*((H$4-1)/9)^3)),$E31+($F31-$E31)*(0.5*((H$4-10)/10)+0.5*(3*((H$4-10)/10)^2-2*((H$4-10)/10)^3))),0)</f>
        <v>99</v>
      </c>
      <c r="I31" s="3" t="n">
        <f aca="false">ROUND(IF(I$4&lt;=10,$D31+($E31-$D31)*(0.5*((I$4-1)/9)+0.5*(3*((I$4-1)/9)^2-2*((I$4-1)/9)^3)),$E31+($F31-$E31)*(0.5*((I$4-10)/10)+0.5*(3*((I$4-10)/10)^2-2*((I$4-10)/10)^3))),0)</f>
        <v>98</v>
      </c>
      <c r="J31" s="3" t="n">
        <f aca="false">ROUND(IF(J$4&lt;=10,$D31+($E31-$D31)*(0.5*((J$4-1)/9)+0.5*(3*((J$4-1)/9)^2-2*((J$4-1)/9)^3)),$E31+($F31-$E31)*(0.5*((J$4-10)/10)+0.5*(3*((J$4-10)/10)^2-2*((J$4-10)/10)^3))),0)</f>
        <v>97</v>
      </c>
      <c r="K31" s="3" t="n">
        <f aca="false">ROUND(IF(K$4&lt;=10,$D31+($E31-$D31)*(0.5*((K$4-1)/9)+0.5*(3*((K$4-1)/9)^2-2*((K$4-1)/9)^3)),$E31+($F31-$E31)*(0.5*((K$4-10)/10)+0.5*(3*((K$4-10)/10)^2-2*((K$4-10)/10)^3))),0)</f>
        <v>96</v>
      </c>
      <c r="L31" s="3" t="n">
        <f aca="false">ROUND(IF(L$4&lt;=10,$D31+($E31-$D31)*(0.5*((L$4-1)/9)+0.5*(3*((L$4-1)/9)^2-2*((L$4-1)/9)^3)),$E31+($F31-$E31)*(0.5*((L$4-10)/10)+0.5*(3*((L$4-10)/10)^2-2*((L$4-10)/10)^3))),0)</f>
        <v>94</v>
      </c>
      <c r="M31" s="3" t="n">
        <f aca="false">ROUND(IF(M$4&lt;=10,$D31+($E31-$D31)*(0.5*((M$4-1)/9)+0.5*(3*((M$4-1)/9)^2-2*((M$4-1)/9)^3)),$E31+($F31-$E31)*(0.5*((M$4-10)/10)+0.5*(3*((M$4-10)/10)^2-2*((M$4-10)/10)^3))),0)</f>
        <v>93</v>
      </c>
      <c r="N31" s="3" t="n">
        <f aca="false">ROUND(IF(N$4&lt;=10,$D31+($E31-$D31)*(0.5*((N$4-1)/9)+0.5*(3*((N$4-1)/9)^2-2*((N$4-1)/9)^3)),$E31+($F31-$E31)*(0.5*((N$4-10)/10)+0.5*(3*((N$4-10)/10)^2-2*((N$4-10)/10)^3))),0)</f>
        <v>92</v>
      </c>
      <c r="O31" s="3" t="n">
        <f aca="false">ROUND(IF(O$4&lt;=10,$D31+($E31-$D31)*(0.5*((O$4-1)/9)+0.5*(3*((O$4-1)/9)^2-2*((O$4-1)/9)^3)),$E31+($F31-$E31)*(0.5*((O$4-10)/10)+0.5*(3*((O$4-10)/10)^2-2*((O$4-10)/10)^3))),0)</f>
        <v>91</v>
      </c>
      <c r="P31" s="3" t="n">
        <f aca="false">ROUND(IF(P$4&lt;=10,$D31+($E31-$D31)*(0.5*((P$4-1)/9)+0.5*(3*((P$4-1)/9)^2-2*((P$4-1)/9)^3)),$E31+($F31-$E31)*(0.5*((P$4-10)/10)+0.5*(3*((P$4-10)/10)^2-2*((P$4-10)/10)^3))),0)</f>
        <v>90</v>
      </c>
      <c r="Q31" s="3" t="n">
        <f aca="false">ROUND(IF(Q$4&lt;=10,$D31+($E31-$D31)*(0.5*((Q$4-1)/9)+0.5*(3*((Q$4-1)/9)^2-2*((Q$4-1)/9)^3)),$E31+($F31-$E31)*(0.5*((Q$4-10)/10)+0.5*(3*((Q$4-10)/10)^2-2*((Q$4-10)/10)^3))),0)</f>
        <v>90</v>
      </c>
      <c r="R31" s="3" t="n">
        <f aca="false">ROUND(IF(R$4&lt;=10,$D31+($E31-$D31)*(0.5*((R$4-1)/9)+0.5*(3*((R$4-1)/9)^2-2*((R$4-1)/9)^3)),$E31+($F31-$E31)*(0.5*((R$4-10)/10)+0.5*(3*((R$4-10)/10)^2-2*((R$4-10)/10)^3))),0)</f>
        <v>90</v>
      </c>
      <c r="S31" s="3" t="n">
        <f aca="false">ROUND(IF(S$4&lt;=10,$D31+($E31-$D31)*(0.5*((S$4-1)/9)+0.5*(3*((S$4-1)/9)^2-2*((S$4-1)/9)^3)),$E31+($F31-$E31)*(0.5*((S$4-10)/10)+0.5*(3*((S$4-10)/10)^2-2*((S$4-10)/10)^3))),0)</f>
        <v>90</v>
      </c>
      <c r="T31" s="3" t="n">
        <f aca="false">ROUND(IF(T$4&lt;=10,$D31+($E31-$D31)*(0.5*((T$4-1)/9)+0.5*(3*((T$4-1)/9)^2-2*((T$4-1)/9)^3)),$E31+($F31-$E31)*(0.5*((T$4-10)/10)+0.5*(3*((T$4-10)/10)^2-2*((T$4-10)/10)^3))),0)</f>
        <v>90</v>
      </c>
      <c r="U31" s="3" t="n">
        <f aca="false">ROUND(IF(U$4&lt;=10,$D31+($E31-$D31)*(0.5*((U$4-1)/9)+0.5*(3*((U$4-1)/9)^2-2*((U$4-1)/9)^3)),$E31+($F31-$E31)*(0.5*((U$4-10)/10)+0.5*(3*((U$4-10)/10)^2-2*((U$4-10)/10)^3))),0)</f>
        <v>90</v>
      </c>
      <c r="V31" s="3" t="n">
        <f aca="false">ROUND(IF(V$4&lt;=10,$D31+($E31-$D31)*(0.5*((V$4-1)/9)+0.5*(3*((V$4-1)/9)^2-2*((V$4-1)/9)^3)),$E31+($F31-$E31)*(0.5*((V$4-10)/10)+0.5*(3*((V$4-10)/10)^2-2*((V$4-10)/10)^3))),0)</f>
        <v>90</v>
      </c>
      <c r="W31" s="3" t="n">
        <f aca="false">ROUND(IF(W$4&lt;=10,$D31+($E31-$D31)*(0.5*((W$4-1)/9)+0.5*(3*((W$4-1)/9)^2-2*((W$4-1)/9)^3)),$E31+($F31-$E31)*(0.5*((W$4-10)/10)+0.5*(3*((W$4-10)/10)^2-2*((W$4-10)/10)^3))),0)</f>
        <v>90</v>
      </c>
      <c r="X31" s="3" t="n">
        <f aca="false">ROUND(IF(X$4&lt;=10,$D31+($E31-$D31)*(0.5*((X$4-1)/9)+0.5*(3*((X$4-1)/9)^2-2*((X$4-1)/9)^3)),$E31+($F31-$E31)*(0.5*((X$4-10)/10)+0.5*(3*((X$4-10)/10)^2-2*((X$4-10)/10)^3))),0)</f>
        <v>90</v>
      </c>
      <c r="Y31" s="3" t="n">
        <f aca="false">ROUND(IF(Y$4&lt;=10,$D31+($E31-$D31)*(0.5*((Y$4-1)/9)+0.5*(3*((Y$4-1)/9)^2-2*((Y$4-1)/9)^3)),$E31+($F31-$E31)*(0.5*((Y$4-10)/10)+0.5*(3*((Y$4-10)/10)^2-2*((Y$4-10)/10)^3))),0)</f>
        <v>90</v>
      </c>
      <c r="Z31" s="3" t="n">
        <f aca="false">ROUND(IF(Z$4&lt;=10,$D31+($E31-$D31)*(0.5*((Z$4-1)/9)+0.5*(3*((Z$4-1)/9)^2-2*((Z$4-1)/9)^3)),$E31+($F31-$E31)*(0.5*((Z$4-10)/10)+0.5*(3*((Z$4-10)/10)^2-2*((Z$4-10)/10)^3))),0)</f>
        <v>90</v>
      </c>
    </row>
    <row r="32" customFormat="false" ht="15" hidden="false" customHeight="true" outlineLevel="0" collapsed="false">
      <c r="A32" s="3" t="s">
        <v>85</v>
      </c>
      <c r="B32" s="3" t="s">
        <v>82</v>
      </c>
      <c r="C32" s="3" t="s">
        <v>55</v>
      </c>
      <c r="D32" s="5" t="n">
        <v>10</v>
      </c>
      <c r="E32" s="5" t="n">
        <v>55</v>
      </c>
      <c r="F32" s="5" t="n">
        <v>100</v>
      </c>
      <c r="G32" s="3" t="n">
        <f aca="false">ROUND(IF(G$4&lt;=10,$D32+($E32-$D32)*(0.5*((G$4-1)/9)+0.5*(3*((G$4-1)/9)^2-2*((G$4-1)/9)^3)),$E32+($F32-$E32)*(0.5*((G$4-10)/10)+0.5*(3*((G$4-10)/10)^2-2*((G$4-10)/10)^3))),0)</f>
        <v>10</v>
      </c>
      <c r="H32" s="3" t="n">
        <f aca="false">ROUND(IF(H$4&lt;=10,$D32+($E32-$D32)*(0.5*((H$4-1)/9)+0.5*(3*((H$4-1)/9)^2-2*((H$4-1)/9)^3)),$E32+($F32-$E32)*(0.5*((H$4-10)/10)+0.5*(3*((H$4-10)/10)^2-2*((H$4-10)/10)^3))),0)</f>
        <v>13</v>
      </c>
      <c r="I32" s="3" t="n">
        <f aca="false">ROUND(IF(I$4&lt;=10,$D32+($E32-$D32)*(0.5*((I$4-1)/9)+0.5*(3*((I$4-1)/9)^2-2*((I$4-1)/9)^3)),$E32+($F32-$E32)*(0.5*((I$4-10)/10)+0.5*(3*((I$4-10)/10)^2-2*((I$4-10)/10)^3))),0)</f>
        <v>18</v>
      </c>
      <c r="J32" s="3" t="n">
        <f aca="false">ROUND(IF(J$4&lt;=10,$D32+($E32-$D32)*(0.5*((J$4-1)/9)+0.5*(3*((J$4-1)/9)^2-2*((J$4-1)/9)^3)),$E32+($F32-$E32)*(0.5*((J$4-10)/10)+0.5*(3*((J$4-10)/10)^2-2*((J$4-10)/10)^3))),0)</f>
        <v>23</v>
      </c>
      <c r="K32" s="3" t="n">
        <f aca="false">ROUND(IF(K$4&lt;=10,$D32+($E32-$D32)*(0.5*((K$4-1)/9)+0.5*(3*((K$4-1)/9)^2-2*((K$4-1)/9)^3)),$E32+($F32-$E32)*(0.5*((K$4-10)/10)+0.5*(3*((K$4-10)/10)^2-2*((K$4-10)/10)^3))),0)</f>
        <v>29</v>
      </c>
      <c r="L32" s="3" t="n">
        <f aca="false">ROUND(IF(L$4&lt;=10,$D32+($E32-$D32)*(0.5*((L$4-1)/9)+0.5*(3*((L$4-1)/9)^2-2*((L$4-1)/9)^3)),$E32+($F32-$E32)*(0.5*((L$4-10)/10)+0.5*(3*((L$4-10)/10)^2-2*((L$4-10)/10)^3))),0)</f>
        <v>36</v>
      </c>
      <c r="M32" s="3" t="n">
        <f aca="false">ROUND(IF(M$4&lt;=10,$D32+($E32-$D32)*(0.5*((M$4-1)/9)+0.5*(3*((M$4-1)/9)^2-2*((M$4-1)/9)^3)),$E32+($F32-$E32)*(0.5*((M$4-10)/10)+0.5*(3*((M$4-10)/10)^2-2*((M$4-10)/10)^3))),0)</f>
        <v>42</v>
      </c>
      <c r="N32" s="3" t="n">
        <f aca="false">ROUND(IF(N$4&lt;=10,$D32+($E32-$D32)*(0.5*((N$4-1)/9)+0.5*(3*((N$4-1)/9)^2-2*((N$4-1)/9)^3)),$E32+($F32-$E32)*(0.5*((N$4-10)/10)+0.5*(3*((N$4-10)/10)^2-2*((N$4-10)/10)^3))),0)</f>
        <v>47</v>
      </c>
      <c r="O32" s="3" t="n">
        <f aca="false">ROUND(IF(O$4&lt;=10,$D32+($E32-$D32)*(0.5*((O$4-1)/9)+0.5*(3*((O$4-1)/9)^2-2*((O$4-1)/9)^3)),$E32+($F32-$E32)*(0.5*((O$4-10)/10)+0.5*(3*((O$4-10)/10)^2-2*((O$4-10)/10)^3))),0)</f>
        <v>52</v>
      </c>
      <c r="P32" s="3" t="n">
        <f aca="false">ROUND(IF(P$4&lt;=10,$D32+($E32-$D32)*(0.5*((P$4-1)/9)+0.5*(3*((P$4-1)/9)^2-2*((P$4-1)/9)^3)),$E32+($F32-$E32)*(0.5*((P$4-10)/10)+0.5*(3*((P$4-10)/10)^2-2*((P$4-10)/10)^3))),0)</f>
        <v>55</v>
      </c>
      <c r="Q32" s="3" t="n">
        <f aca="false">ROUND(IF(Q$4&lt;=10,$D32+($E32-$D32)*(0.5*((Q$4-1)/9)+0.5*(3*((Q$4-1)/9)^2-2*((Q$4-1)/9)^3)),$E32+($F32-$E32)*(0.5*((Q$4-10)/10)+0.5*(3*((Q$4-10)/10)^2-2*((Q$4-10)/10)^3))),0)</f>
        <v>58</v>
      </c>
      <c r="R32" s="3" t="n">
        <f aca="false">ROUND(IF(R$4&lt;=10,$D32+($E32-$D32)*(0.5*((R$4-1)/9)+0.5*(3*((R$4-1)/9)^2-2*((R$4-1)/9)^3)),$E32+($F32-$E32)*(0.5*((R$4-10)/10)+0.5*(3*((R$4-10)/10)^2-2*((R$4-10)/10)^3))),0)</f>
        <v>62</v>
      </c>
      <c r="S32" s="3" t="n">
        <f aca="false">ROUND(IF(S$4&lt;=10,$D32+($E32-$D32)*(0.5*((S$4-1)/9)+0.5*(3*((S$4-1)/9)^2-2*((S$4-1)/9)^3)),$E32+($F32-$E32)*(0.5*((S$4-10)/10)+0.5*(3*((S$4-10)/10)^2-2*((S$4-10)/10)^3))),0)</f>
        <v>67</v>
      </c>
      <c r="T32" s="3" t="n">
        <f aca="false">ROUND(IF(T$4&lt;=10,$D32+($E32-$D32)*(0.5*((T$4-1)/9)+0.5*(3*((T$4-1)/9)^2-2*((T$4-1)/9)^3)),$E32+($F32-$E32)*(0.5*((T$4-10)/10)+0.5*(3*((T$4-10)/10)^2-2*((T$4-10)/10)^3))),0)</f>
        <v>72</v>
      </c>
      <c r="U32" s="3" t="n">
        <f aca="false">ROUND(IF(U$4&lt;=10,$D32+($E32-$D32)*(0.5*((U$4-1)/9)+0.5*(3*((U$4-1)/9)^2-2*((U$4-1)/9)^3)),$E32+($F32-$E32)*(0.5*((U$4-10)/10)+0.5*(3*((U$4-10)/10)^2-2*((U$4-10)/10)^3))),0)</f>
        <v>78</v>
      </c>
      <c r="V32" s="3" t="n">
        <f aca="false">ROUND(IF(V$4&lt;=10,$D32+($E32-$D32)*(0.5*((V$4-1)/9)+0.5*(3*((V$4-1)/9)^2-2*((V$4-1)/9)^3)),$E32+($F32-$E32)*(0.5*((V$4-10)/10)+0.5*(3*((V$4-10)/10)^2-2*((V$4-10)/10)^3))),0)</f>
        <v>83</v>
      </c>
      <c r="W32" s="3" t="n">
        <f aca="false">ROUND(IF(W$4&lt;=10,$D32+($E32-$D32)*(0.5*((W$4-1)/9)+0.5*(3*((W$4-1)/9)^2-2*((W$4-1)/9)^3)),$E32+($F32-$E32)*(0.5*((W$4-10)/10)+0.5*(3*((W$4-10)/10)^2-2*((W$4-10)/10)^3))),0)</f>
        <v>88</v>
      </c>
      <c r="X32" s="3" t="n">
        <f aca="false">ROUND(IF(X$4&lt;=10,$D32+($E32-$D32)*(0.5*((X$4-1)/9)+0.5*(3*((X$4-1)/9)^2-2*((X$4-1)/9)^3)),$E32+($F32-$E32)*(0.5*((X$4-10)/10)+0.5*(3*((X$4-10)/10)^2-2*((X$4-10)/10)^3))),0)</f>
        <v>93</v>
      </c>
      <c r="Y32" s="3" t="n">
        <f aca="false">ROUND(IF(Y$4&lt;=10,$D32+($E32-$D32)*(0.5*((Y$4-1)/9)+0.5*(3*((Y$4-1)/9)^2-2*((Y$4-1)/9)^3)),$E32+($F32-$E32)*(0.5*((Y$4-10)/10)+0.5*(3*((Y$4-10)/10)^2-2*((Y$4-10)/10)^3))),0)</f>
        <v>97</v>
      </c>
      <c r="Z32" s="3" t="n">
        <f aca="false">ROUND(IF(Z$4&lt;=10,$D32+($E32-$D32)*(0.5*((Z$4-1)/9)+0.5*(3*((Z$4-1)/9)^2-2*((Z$4-1)/9)^3)),$E32+($F32-$E32)*(0.5*((Z$4-10)/10)+0.5*(3*((Z$4-10)/10)^2-2*((Z$4-10)/10)^3))),0)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2"/>
    <col collapsed="false" customWidth="true" hidden="false" outlineLevel="0" max="10" min="10" style="1" width="30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2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15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4" t="s">
        <v>87</v>
      </c>
      <c r="K2" s="8"/>
    </row>
    <row r="3" customFormat="false" ht="26.25" hidden="false" customHeight="true" outlineLevel="0" collapsed="false">
      <c r="A3" s="9" t="s">
        <v>88</v>
      </c>
      <c r="B3" s="9" t="s">
        <v>89</v>
      </c>
      <c r="C3" s="9" t="s">
        <v>90</v>
      </c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8"/>
      <c r="J3" s="8"/>
      <c r="K3" s="8"/>
    </row>
    <row r="4" customFormat="false" ht="15" hidden="false" customHeight="true" outlineLevel="0" collapsed="false">
      <c r="A4" s="8"/>
      <c r="B4" s="8"/>
      <c r="C4" s="8"/>
      <c r="D4" s="8"/>
      <c r="E4" s="8"/>
      <c r="F4" s="8"/>
      <c r="G4" s="8"/>
      <c r="H4" s="8"/>
      <c r="I4" s="8"/>
      <c r="J4" s="3" t="s">
        <v>96</v>
      </c>
      <c r="K4" s="10" t="n">
        <v>60</v>
      </c>
    </row>
    <row r="5" customFormat="false" ht="15" hidden="false" customHeight="true" outlineLevel="0" collapsed="false">
      <c r="A5" s="3" t="n">
        <v>1</v>
      </c>
      <c r="B5" s="3" t="n">
        <f aca="false">IF(A5&lt;20,$K$4+$K$5*A5,"—")</f>
        <v>75</v>
      </c>
      <c r="C5" s="11" t="n">
        <f aca="false">0</f>
        <v>0</v>
      </c>
      <c r="D5" s="3" t="n">
        <f aca="false">$K$6+$K$7*A5</f>
        <v>6</v>
      </c>
      <c r="E5" s="3" t="n">
        <f aca="false">D5+$K$8</f>
        <v>11</v>
      </c>
      <c r="F5" s="12" t="n">
        <f aca="false">MIN($K$10,$K$9*(A5-1))</f>
        <v>0</v>
      </c>
      <c r="G5" s="3" t="n">
        <f aca="false">MAX(0,A5-15)</f>
        <v>0</v>
      </c>
      <c r="H5" s="3" t="n">
        <f aca="false">$K$11+$K$12*A5</f>
        <v>115</v>
      </c>
      <c r="I5" s="8"/>
      <c r="J5" s="3" t="s">
        <v>97</v>
      </c>
      <c r="K5" s="10" t="n">
        <v>15</v>
      </c>
    </row>
    <row r="6" customFormat="false" ht="15" hidden="false" customHeight="true" outlineLevel="0" collapsed="false">
      <c r="A6" s="3" t="n">
        <v>2</v>
      </c>
      <c r="B6" s="3" t="n">
        <f aca="false">IF(A6&lt;20,$K$4+$K$5*A6,"—")</f>
        <v>90</v>
      </c>
      <c r="C6" s="11" t="n">
        <f aca="false">C5+B5</f>
        <v>75</v>
      </c>
      <c r="D6" s="3" t="n">
        <f aca="false">$K$6+$K$7*A6</f>
        <v>7</v>
      </c>
      <c r="E6" s="3" t="n">
        <f aca="false">D6+$K$8</f>
        <v>12</v>
      </c>
      <c r="F6" s="12" t="n">
        <f aca="false">MIN($K$10,$K$9*(A6-1))</f>
        <v>0.02</v>
      </c>
      <c r="G6" s="3" t="n">
        <f aca="false">MAX(0,A6-15)</f>
        <v>0</v>
      </c>
      <c r="H6" s="3" t="n">
        <f aca="false">$K$11+$K$12*A6</f>
        <v>130</v>
      </c>
      <c r="I6" s="8"/>
      <c r="J6" s="3" t="s">
        <v>98</v>
      </c>
      <c r="K6" s="5" t="n">
        <v>5</v>
      </c>
    </row>
    <row r="7" customFormat="false" ht="15" hidden="false" customHeight="true" outlineLevel="0" collapsed="false">
      <c r="A7" s="3" t="n">
        <v>3</v>
      </c>
      <c r="B7" s="3" t="n">
        <f aca="false">IF(A7&lt;20,$K$4+$K$5*A7,"—")</f>
        <v>105</v>
      </c>
      <c r="C7" s="11" t="n">
        <f aca="false">C6+B6</f>
        <v>165</v>
      </c>
      <c r="D7" s="3" t="n">
        <f aca="false">$K$6+$K$7*A7</f>
        <v>8</v>
      </c>
      <c r="E7" s="3" t="n">
        <f aca="false">D7+$K$8</f>
        <v>13</v>
      </c>
      <c r="F7" s="12" t="n">
        <f aca="false">MIN($K$10,$K$9*(A7-1))</f>
        <v>0.04</v>
      </c>
      <c r="G7" s="3" t="n">
        <f aca="false">MAX(0,A7-15)</f>
        <v>0</v>
      </c>
      <c r="H7" s="3" t="n">
        <f aca="false">$K$11+$K$12*A7</f>
        <v>145</v>
      </c>
      <c r="I7" s="8"/>
      <c r="J7" s="3" t="s">
        <v>99</v>
      </c>
      <c r="K7" s="5" t="n">
        <v>1</v>
      </c>
    </row>
    <row r="8" customFormat="false" ht="15" hidden="false" customHeight="true" outlineLevel="0" collapsed="false">
      <c r="A8" s="3" t="n">
        <v>4</v>
      </c>
      <c r="B8" s="3" t="n">
        <f aca="false">IF(A8&lt;20,$K$4+$K$5*A8,"—")</f>
        <v>120</v>
      </c>
      <c r="C8" s="11" t="n">
        <f aca="false">C7+B7</f>
        <v>270</v>
      </c>
      <c r="D8" s="3" t="n">
        <f aca="false">$K$6+$K$7*A8</f>
        <v>9</v>
      </c>
      <c r="E8" s="3" t="n">
        <f aca="false">D8+$K$8</f>
        <v>14</v>
      </c>
      <c r="F8" s="12" t="n">
        <f aca="false">MIN($K$10,$K$9*(A8-1))</f>
        <v>0.06</v>
      </c>
      <c r="G8" s="3" t="n">
        <f aca="false">MAX(0,A8-15)</f>
        <v>0</v>
      </c>
      <c r="H8" s="3" t="n">
        <f aca="false">$K$11+$K$12*A8</f>
        <v>160</v>
      </c>
      <c r="I8" s="8"/>
      <c r="J8" s="3" t="s">
        <v>100</v>
      </c>
      <c r="K8" s="5" t="n">
        <v>5</v>
      </c>
    </row>
    <row r="9" customFormat="false" ht="15" hidden="false" customHeight="true" outlineLevel="0" collapsed="false">
      <c r="A9" s="3" t="n">
        <v>5</v>
      </c>
      <c r="B9" s="3" t="n">
        <f aca="false">IF(A9&lt;20,$K$4+$K$5*A9,"—")</f>
        <v>135</v>
      </c>
      <c r="C9" s="11" t="n">
        <f aca="false">C8+B8</f>
        <v>390</v>
      </c>
      <c r="D9" s="3" t="n">
        <f aca="false">$K$6+$K$7*A9</f>
        <v>10</v>
      </c>
      <c r="E9" s="3" t="n">
        <f aca="false">D9+$K$8</f>
        <v>15</v>
      </c>
      <c r="F9" s="12" t="n">
        <f aca="false">MIN($K$10,$K$9*(A9-1))</f>
        <v>0.08</v>
      </c>
      <c r="G9" s="3" t="n">
        <f aca="false">MAX(0,A9-15)</f>
        <v>0</v>
      </c>
      <c r="H9" s="3" t="n">
        <f aca="false">$K$11+$K$12*A9</f>
        <v>175</v>
      </c>
      <c r="I9" s="8"/>
      <c r="J9" s="3" t="s">
        <v>101</v>
      </c>
      <c r="K9" s="13" t="n">
        <v>0.02</v>
      </c>
    </row>
    <row r="10" customFormat="false" ht="15" hidden="false" customHeight="true" outlineLevel="0" collapsed="false">
      <c r="A10" s="3" t="n">
        <v>6</v>
      </c>
      <c r="B10" s="3" t="n">
        <f aca="false">IF(A10&lt;20,$K$4+$K$5*A10,"—")</f>
        <v>150</v>
      </c>
      <c r="C10" s="11" t="n">
        <f aca="false">C9+B9</f>
        <v>525</v>
      </c>
      <c r="D10" s="3" t="n">
        <f aca="false">$K$6+$K$7*A10</f>
        <v>11</v>
      </c>
      <c r="E10" s="3" t="n">
        <f aca="false">D10+$K$8</f>
        <v>16</v>
      </c>
      <c r="F10" s="12" t="n">
        <f aca="false">MIN($K$10,$K$9*(A10-1))</f>
        <v>0.1</v>
      </c>
      <c r="G10" s="3" t="n">
        <f aca="false">MAX(0,A10-15)</f>
        <v>0</v>
      </c>
      <c r="H10" s="3" t="n">
        <f aca="false">$K$11+$K$12*A10</f>
        <v>190</v>
      </c>
      <c r="I10" s="8"/>
      <c r="J10" s="3" t="s">
        <v>102</v>
      </c>
      <c r="K10" s="13" t="n">
        <v>0.28</v>
      </c>
    </row>
    <row r="11" customFormat="false" ht="15" hidden="false" customHeight="true" outlineLevel="0" collapsed="false">
      <c r="A11" s="3" t="n">
        <v>7</v>
      </c>
      <c r="B11" s="3" t="n">
        <f aca="false">IF(A11&lt;20,$K$4+$K$5*A11,"—")</f>
        <v>165</v>
      </c>
      <c r="C11" s="11" t="n">
        <f aca="false">C10+B10</f>
        <v>675</v>
      </c>
      <c r="D11" s="3" t="n">
        <f aca="false">$K$6+$K$7*A11</f>
        <v>12</v>
      </c>
      <c r="E11" s="3" t="n">
        <f aca="false">D11+$K$8</f>
        <v>17</v>
      </c>
      <c r="F11" s="12" t="n">
        <f aca="false">MIN($K$10,$K$9*(A11-1))</f>
        <v>0.12</v>
      </c>
      <c r="G11" s="3" t="n">
        <f aca="false">MAX(0,A11-15)</f>
        <v>0</v>
      </c>
      <c r="H11" s="3" t="n">
        <f aca="false">$K$11+$K$12*A11</f>
        <v>205</v>
      </c>
      <c r="I11" s="8"/>
      <c r="J11" s="3" t="s">
        <v>103</v>
      </c>
      <c r="K11" s="10" t="n">
        <v>100</v>
      </c>
    </row>
    <row r="12" customFormat="false" ht="15" hidden="false" customHeight="true" outlineLevel="0" collapsed="false">
      <c r="A12" s="3" t="n">
        <v>8</v>
      </c>
      <c r="B12" s="3" t="n">
        <f aca="false">IF(A12&lt;20,$K$4+$K$5*A12,"—")</f>
        <v>180</v>
      </c>
      <c r="C12" s="11" t="n">
        <f aca="false">C11+B11</f>
        <v>840</v>
      </c>
      <c r="D12" s="3" t="n">
        <f aca="false">$K$6+$K$7*A12</f>
        <v>13</v>
      </c>
      <c r="E12" s="3" t="n">
        <f aca="false">D12+$K$8</f>
        <v>18</v>
      </c>
      <c r="F12" s="12" t="n">
        <f aca="false">MIN($K$10,$K$9*(A12-1))</f>
        <v>0.14</v>
      </c>
      <c r="G12" s="3" t="n">
        <f aca="false">MAX(0,A12-15)</f>
        <v>0</v>
      </c>
      <c r="H12" s="3" t="n">
        <f aca="false">$K$11+$K$12*A12</f>
        <v>220</v>
      </c>
      <c r="I12" s="8"/>
      <c r="J12" s="3" t="s">
        <v>104</v>
      </c>
      <c r="K12" s="5" t="n">
        <v>15</v>
      </c>
    </row>
    <row r="13" customFormat="false" ht="15" hidden="false" customHeight="true" outlineLevel="0" collapsed="false">
      <c r="A13" s="3" t="n">
        <v>9</v>
      </c>
      <c r="B13" s="3" t="n">
        <f aca="false">IF(A13&lt;20,$K$4+$K$5*A13,"—")</f>
        <v>195</v>
      </c>
      <c r="C13" s="11" t="n">
        <f aca="false">C12+B12</f>
        <v>1020</v>
      </c>
      <c r="D13" s="3" t="n">
        <f aca="false">$K$6+$K$7*A13</f>
        <v>14</v>
      </c>
      <c r="E13" s="3" t="n">
        <f aca="false">D13+$K$8</f>
        <v>19</v>
      </c>
      <c r="F13" s="12" t="n">
        <f aca="false">MIN($K$10,$K$9*(A13-1))</f>
        <v>0.16</v>
      </c>
      <c r="G13" s="3" t="n">
        <f aca="false">MAX(0,A13-15)</f>
        <v>0</v>
      </c>
      <c r="H13" s="3" t="n">
        <f aca="false">$K$11+$K$12*A13</f>
        <v>235</v>
      </c>
      <c r="I13" s="8"/>
      <c r="J13" s="8"/>
      <c r="K13" s="8"/>
    </row>
    <row r="14" customFormat="false" ht="15" hidden="false" customHeight="true" outlineLevel="0" collapsed="false">
      <c r="A14" s="3" t="n">
        <v>10</v>
      </c>
      <c r="B14" s="3" t="n">
        <f aca="false">IF(A14&lt;20,$K$4+$K$5*A14,"—")</f>
        <v>210</v>
      </c>
      <c r="C14" s="11" t="n">
        <f aca="false">C13+B13</f>
        <v>1215</v>
      </c>
      <c r="D14" s="3" t="n">
        <f aca="false">$K$6+$K$7*A14</f>
        <v>15</v>
      </c>
      <c r="E14" s="3" t="n">
        <f aca="false">D14+$K$8</f>
        <v>20</v>
      </c>
      <c r="F14" s="12" t="n">
        <f aca="false">MIN($K$10,$K$9*(A14-1))</f>
        <v>0.18</v>
      </c>
      <c r="G14" s="3" t="n">
        <f aca="false">MAX(0,A14-15)</f>
        <v>0</v>
      </c>
      <c r="H14" s="3" t="n">
        <f aca="false">$K$11+$K$12*A14</f>
        <v>250</v>
      </c>
      <c r="I14" s="8"/>
      <c r="J14" s="8"/>
      <c r="K14" s="8"/>
    </row>
    <row r="15" customFormat="false" ht="15" hidden="false" customHeight="true" outlineLevel="0" collapsed="false">
      <c r="A15" s="3" t="n">
        <v>11</v>
      </c>
      <c r="B15" s="3" t="n">
        <f aca="false">IF(A15&lt;20,$K$4+$K$5*A15,"—")</f>
        <v>225</v>
      </c>
      <c r="C15" s="11" t="n">
        <f aca="false">C14+B14</f>
        <v>1425</v>
      </c>
      <c r="D15" s="3" t="n">
        <f aca="false">$K$6+$K$7*A15</f>
        <v>16</v>
      </c>
      <c r="E15" s="3" t="n">
        <f aca="false">D15+$K$8</f>
        <v>21</v>
      </c>
      <c r="F15" s="12" t="n">
        <f aca="false">MIN($K$10,$K$9*(A15-1))</f>
        <v>0.2</v>
      </c>
      <c r="G15" s="3" t="n">
        <f aca="false">MAX(0,A15-15)</f>
        <v>0</v>
      </c>
      <c r="H15" s="3" t="n">
        <f aca="false">$K$11+$K$12*A15</f>
        <v>265</v>
      </c>
      <c r="I15" s="8"/>
      <c r="J15" s="8"/>
      <c r="K15" s="8"/>
    </row>
    <row r="16" customFormat="false" ht="15" hidden="false" customHeight="true" outlineLevel="0" collapsed="false">
      <c r="A16" s="3" t="n">
        <v>12</v>
      </c>
      <c r="B16" s="3" t="n">
        <f aca="false">IF(A16&lt;20,$K$4+$K$5*A16,"—")</f>
        <v>240</v>
      </c>
      <c r="C16" s="11" t="n">
        <f aca="false">C15+B15</f>
        <v>1650</v>
      </c>
      <c r="D16" s="3" t="n">
        <f aca="false">$K$6+$K$7*A16</f>
        <v>17</v>
      </c>
      <c r="E16" s="3" t="n">
        <f aca="false">D16+$K$8</f>
        <v>22</v>
      </c>
      <c r="F16" s="12" t="n">
        <f aca="false">MIN($K$10,$K$9*(A16-1))</f>
        <v>0.22</v>
      </c>
      <c r="G16" s="3" t="n">
        <f aca="false">MAX(0,A16-15)</f>
        <v>0</v>
      </c>
      <c r="H16" s="3" t="n">
        <f aca="false">$K$11+$K$12*A16</f>
        <v>280</v>
      </c>
      <c r="I16" s="8"/>
      <c r="J16" s="8"/>
      <c r="K16" s="8"/>
    </row>
    <row r="17" customFormat="false" ht="15" hidden="false" customHeight="true" outlineLevel="0" collapsed="false">
      <c r="A17" s="3" t="n">
        <v>13</v>
      </c>
      <c r="B17" s="3" t="n">
        <f aca="false">IF(A17&lt;20,$K$4+$K$5*A17,"—")</f>
        <v>255</v>
      </c>
      <c r="C17" s="11" t="n">
        <f aca="false">C16+B16</f>
        <v>1890</v>
      </c>
      <c r="D17" s="3" t="n">
        <f aca="false">$K$6+$K$7*A17</f>
        <v>18</v>
      </c>
      <c r="E17" s="3" t="n">
        <f aca="false">D17+$K$8</f>
        <v>23</v>
      </c>
      <c r="F17" s="12" t="n">
        <f aca="false">MIN($K$10,$K$9*(A17-1))</f>
        <v>0.24</v>
      </c>
      <c r="G17" s="3" t="n">
        <f aca="false">MAX(0,A17-15)</f>
        <v>0</v>
      </c>
      <c r="H17" s="3" t="n">
        <f aca="false">$K$11+$K$12*A17</f>
        <v>295</v>
      </c>
      <c r="I17" s="8"/>
      <c r="J17" s="8"/>
      <c r="K17" s="8"/>
    </row>
    <row r="18" customFormat="false" ht="15" hidden="false" customHeight="true" outlineLevel="0" collapsed="false">
      <c r="A18" s="3" t="n">
        <v>14</v>
      </c>
      <c r="B18" s="3" t="n">
        <f aca="false">IF(A18&lt;20,$K$4+$K$5*A18,"—")</f>
        <v>270</v>
      </c>
      <c r="C18" s="11" t="n">
        <f aca="false">C17+B17</f>
        <v>2145</v>
      </c>
      <c r="D18" s="3" t="n">
        <f aca="false">$K$6+$K$7*A18</f>
        <v>19</v>
      </c>
      <c r="E18" s="3" t="n">
        <f aca="false">D18+$K$8</f>
        <v>24</v>
      </c>
      <c r="F18" s="12" t="n">
        <f aca="false">MIN($K$10,$K$9*(A18-1))</f>
        <v>0.26</v>
      </c>
      <c r="G18" s="3" t="n">
        <f aca="false">MAX(0,A18-15)</f>
        <v>0</v>
      </c>
      <c r="H18" s="3" t="n">
        <f aca="false">$K$11+$K$12*A18</f>
        <v>310</v>
      </c>
      <c r="I18" s="8"/>
      <c r="J18" s="8"/>
      <c r="K18" s="8"/>
    </row>
    <row r="19" customFormat="false" ht="15" hidden="false" customHeight="true" outlineLevel="0" collapsed="false">
      <c r="A19" s="3" t="n">
        <v>15</v>
      </c>
      <c r="B19" s="3" t="n">
        <f aca="false">IF(A19&lt;20,$K$4+$K$5*A19,"—")</f>
        <v>285</v>
      </c>
      <c r="C19" s="11" t="n">
        <f aca="false">C18+B18</f>
        <v>2415</v>
      </c>
      <c r="D19" s="3" t="n">
        <f aca="false">$K$6+$K$7*A19</f>
        <v>20</v>
      </c>
      <c r="E19" s="3" t="n">
        <f aca="false">D19+$K$8</f>
        <v>25</v>
      </c>
      <c r="F19" s="12" t="n">
        <f aca="false">MIN($K$10,$K$9*(A19-1))</f>
        <v>0.28</v>
      </c>
      <c r="G19" s="3" t="n">
        <f aca="false">MAX(0,A19-15)</f>
        <v>0</v>
      </c>
      <c r="H19" s="3" t="n">
        <f aca="false">$K$11+$K$12*A19</f>
        <v>325</v>
      </c>
      <c r="I19" s="8"/>
      <c r="J19" s="8"/>
      <c r="K19" s="8"/>
    </row>
    <row r="20" customFormat="false" ht="15" hidden="false" customHeight="true" outlineLevel="0" collapsed="false">
      <c r="A20" s="3" t="n">
        <v>16</v>
      </c>
      <c r="B20" s="3" t="n">
        <f aca="false">IF(A20&lt;20,$K$4+$K$5*A20,"—")</f>
        <v>300</v>
      </c>
      <c r="C20" s="11" t="n">
        <f aca="false">C19+B19</f>
        <v>2700</v>
      </c>
      <c r="D20" s="3" t="n">
        <f aca="false">$K$6+$K$7*A20</f>
        <v>21</v>
      </c>
      <c r="E20" s="3" t="n">
        <f aca="false">D20+$K$8</f>
        <v>26</v>
      </c>
      <c r="F20" s="12" t="n">
        <f aca="false">MIN($K$10,$K$9*(A20-1))</f>
        <v>0.28</v>
      </c>
      <c r="G20" s="3" t="n">
        <f aca="false">MAX(0,A20-15)</f>
        <v>1</v>
      </c>
      <c r="H20" s="3" t="n">
        <f aca="false">$K$11+$K$12*A20</f>
        <v>340</v>
      </c>
      <c r="I20" s="8"/>
      <c r="J20" s="8"/>
      <c r="K20" s="8"/>
    </row>
    <row r="21" customFormat="false" ht="15" hidden="false" customHeight="true" outlineLevel="0" collapsed="false">
      <c r="A21" s="3" t="n">
        <v>17</v>
      </c>
      <c r="B21" s="3" t="n">
        <f aca="false">IF(A21&lt;20,$K$4+$K$5*A21,"—")</f>
        <v>315</v>
      </c>
      <c r="C21" s="11" t="n">
        <f aca="false">C20+B20</f>
        <v>3000</v>
      </c>
      <c r="D21" s="3" t="n">
        <f aca="false">$K$6+$K$7*A21</f>
        <v>22</v>
      </c>
      <c r="E21" s="3" t="n">
        <f aca="false">D21+$K$8</f>
        <v>27</v>
      </c>
      <c r="F21" s="12" t="n">
        <f aca="false">MIN($K$10,$K$9*(A21-1))</f>
        <v>0.28</v>
      </c>
      <c r="G21" s="3" t="n">
        <f aca="false">MAX(0,A21-15)</f>
        <v>2</v>
      </c>
      <c r="H21" s="3" t="n">
        <f aca="false">$K$11+$K$12*A21</f>
        <v>355</v>
      </c>
      <c r="I21" s="8"/>
      <c r="J21" s="8"/>
      <c r="K21" s="8"/>
    </row>
    <row r="22" customFormat="false" ht="15" hidden="false" customHeight="true" outlineLevel="0" collapsed="false">
      <c r="A22" s="3" t="n">
        <v>18</v>
      </c>
      <c r="B22" s="3" t="n">
        <f aca="false">IF(A22&lt;20,$K$4+$K$5*A22,"—")</f>
        <v>330</v>
      </c>
      <c r="C22" s="11" t="n">
        <f aca="false">C21+B21</f>
        <v>3315</v>
      </c>
      <c r="D22" s="3" t="n">
        <f aca="false">$K$6+$K$7*A22</f>
        <v>23</v>
      </c>
      <c r="E22" s="3" t="n">
        <f aca="false">D22+$K$8</f>
        <v>28</v>
      </c>
      <c r="F22" s="12" t="n">
        <f aca="false">MIN($K$10,$K$9*(A22-1))</f>
        <v>0.28</v>
      </c>
      <c r="G22" s="3" t="n">
        <f aca="false">MAX(0,A22-15)</f>
        <v>3</v>
      </c>
      <c r="H22" s="3" t="n">
        <f aca="false">$K$11+$K$12*A22</f>
        <v>370</v>
      </c>
      <c r="I22" s="8"/>
      <c r="J22" s="8"/>
      <c r="K22" s="8"/>
    </row>
    <row r="23" customFormat="false" ht="15" hidden="false" customHeight="true" outlineLevel="0" collapsed="false">
      <c r="A23" s="3" t="n">
        <v>19</v>
      </c>
      <c r="B23" s="3" t="n">
        <f aca="false">IF(A23&lt;20,$K$4+$K$5*A23,"—")</f>
        <v>345</v>
      </c>
      <c r="C23" s="11" t="n">
        <f aca="false">C22+B22</f>
        <v>3645</v>
      </c>
      <c r="D23" s="3" t="n">
        <f aca="false">$K$6+$K$7*A23</f>
        <v>24</v>
      </c>
      <c r="E23" s="3" t="n">
        <f aca="false">D23+$K$8</f>
        <v>29</v>
      </c>
      <c r="F23" s="12" t="n">
        <f aca="false">MIN($K$10,$K$9*(A23-1))</f>
        <v>0.28</v>
      </c>
      <c r="G23" s="3" t="n">
        <f aca="false">MAX(0,A23-15)</f>
        <v>4</v>
      </c>
      <c r="H23" s="3" t="n">
        <f aca="false">$K$11+$K$12*A23</f>
        <v>385</v>
      </c>
      <c r="I23" s="8"/>
      <c r="J23" s="8"/>
      <c r="K23" s="8"/>
    </row>
    <row r="24" customFormat="false" ht="15" hidden="false" customHeight="true" outlineLevel="0" collapsed="false">
      <c r="A24" s="3" t="n">
        <v>20</v>
      </c>
      <c r="B24" s="3" t="str">
        <f aca="false">IF(A24&lt;20,$K$4+$K$5*A24,"—")</f>
        <v>—</v>
      </c>
      <c r="C24" s="11" t="n">
        <f aca="false">C23+B23</f>
        <v>3990</v>
      </c>
      <c r="D24" s="3" t="n">
        <f aca="false">$K$6+$K$7*A24</f>
        <v>25</v>
      </c>
      <c r="E24" s="3" t="n">
        <f aca="false">D24+$K$8</f>
        <v>30</v>
      </c>
      <c r="F24" s="12" t="n">
        <f aca="false">MIN($K$10,$K$9*(A24-1))</f>
        <v>0.28</v>
      </c>
      <c r="G24" s="3" t="n">
        <f aca="false">MAX(0,A24-15)</f>
        <v>5</v>
      </c>
      <c r="H24" s="3" t="n">
        <f aca="false">$K$11+$K$12*A24</f>
        <v>400</v>
      </c>
      <c r="I24" s="8"/>
      <c r="J24" s="8"/>
      <c r="K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customFormat="false" ht="15" hidden="false" customHeight="true" outlineLevel="0" collapsed="false">
      <c r="A26" s="4" t="s">
        <v>105</v>
      </c>
      <c r="B26" s="8"/>
      <c r="C26" s="11" t="n">
        <f aca="false">C24</f>
        <v>3990</v>
      </c>
      <c r="D26" s="8"/>
      <c r="E26" s="8"/>
      <c r="F26" s="8"/>
      <c r="G26" s="8"/>
      <c r="H26" s="8"/>
      <c r="I26" s="8"/>
      <c r="J26" s="8"/>
      <c r="K2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50"/>
    <col collapsed="false" customWidth="true" hidden="false" outlineLevel="0" max="7" min="7" style="1" width="20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2" min="11" style="1" width="11"/>
  </cols>
  <sheetData>
    <row r="1" customFormat="false" ht="17.25" hidden="false" customHeight="true" outlineLevel="0" collapsed="false">
      <c r="A1" s="2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5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26.25" hidden="false" customHeight="true" outlineLevel="0" collapsed="false">
      <c r="A3" s="9" t="s">
        <v>21</v>
      </c>
      <c r="B3" s="9" t="s">
        <v>107</v>
      </c>
      <c r="C3" s="9" t="s">
        <v>108</v>
      </c>
      <c r="D3" s="9" t="s">
        <v>109</v>
      </c>
      <c r="E3" s="9" t="s">
        <v>110</v>
      </c>
      <c r="F3" s="9" t="s">
        <v>111</v>
      </c>
      <c r="G3" s="9" t="s">
        <v>112</v>
      </c>
      <c r="H3" s="9" t="s">
        <v>113</v>
      </c>
      <c r="I3" s="9" t="s">
        <v>114</v>
      </c>
      <c r="J3" s="9" t="s">
        <v>115</v>
      </c>
      <c r="K3" s="9" t="s">
        <v>116</v>
      </c>
      <c r="L3" s="9" t="s">
        <v>117</v>
      </c>
    </row>
    <row r="4" customFormat="false" ht="39" hidden="false" customHeight="true" outlineLevel="0" collapsed="false">
      <c r="A4" s="3" t="s">
        <v>48</v>
      </c>
      <c r="B4" s="3" t="s">
        <v>118</v>
      </c>
      <c r="C4" s="3" t="s">
        <v>119</v>
      </c>
      <c r="D4" s="14" t="s">
        <v>120</v>
      </c>
      <c r="E4" s="14" t="s">
        <v>121</v>
      </c>
      <c r="F4" s="14"/>
      <c r="G4" s="14" t="s">
        <v>122</v>
      </c>
      <c r="H4" s="5" t="n">
        <v>0</v>
      </c>
      <c r="I4" s="5" t="n">
        <v>1.2</v>
      </c>
      <c r="J4" s="3"/>
      <c r="K4" s="6" t="n">
        <f aca="false">IF(I4="","",ROUND(H4+I4*INDEX('Stats by level'!$G$5:$Z$32,MATCH($A4&amp;"|Power",'Stats by level'!$A$5:$A$32,0),10),0))</f>
        <v>120</v>
      </c>
      <c r="L4" s="6" t="n">
        <f aca="false">IF(I4="","",ROUND(H4+I4*INDEX('Stats by level'!$G$5:$Z$32,MATCH($A4&amp;"|Power",'Stats by level'!$A$5:$A$32,0),20),0))</f>
        <v>216</v>
      </c>
    </row>
    <row r="5" customFormat="false" ht="26.25" hidden="false" customHeight="true" outlineLevel="0" collapsed="false">
      <c r="A5" s="3" t="s">
        <v>48</v>
      </c>
      <c r="B5" s="3" t="s">
        <v>123</v>
      </c>
      <c r="C5" s="3" t="s">
        <v>124</v>
      </c>
      <c r="D5" s="14" t="s">
        <v>125</v>
      </c>
      <c r="E5" s="14" t="s">
        <v>126</v>
      </c>
      <c r="F5" s="14" t="s">
        <v>127</v>
      </c>
      <c r="G5" s="14" t="s">
        <v>128</v>
      </c>
      <c r="H5" s="5" t="n">
        <v>60</v>
      </c>
      <c r="I5" s="5" t="n">
        <v>0.8</v>
      </c>
      <c r="J5" s="5" t="n">
        <v>12</v>
      </c>
      <c r="K5" s="6" t="n">
        <f aca="false">IF(I5="","",ROUND(H5+I5*INDEX('Stats by level'!$G$5:$Z$32,MATCH($A5&amp;"|Power",'Stats by level'!$A$5:$A$32,0),10),0))</f>
        <v>140</v>
      </c>
      <c r="L5" s="6" t="n">
        <f aca="false">IF(I5="","",ROUND(H5+I5*INDEX('Stats by level'!$G$5:$Z$32,MATCH($A5&amp;"|Power",'Stats by level'!$A$5:$A$32,0),20),0))</f>
        <v>204</v>
      </c>
    </row>
    <row r="6" customFormat="false" ht="15" hidden="false" customHeight="true" outlineLevel="0" collapsed="false">
      <c r="A6" s="3" t="s">
        <v>48</v>
      </c>
      <c r="B6" s="3" t="s">
        <v>129</v>
      </c>
      <c r="C6" s="3" t="s">
        <v>130</v>
      </c>
      <c r="D6" s="14" t="s">
        <v>131</v>
      </c>
      <c r="E6" s="14" t="s">
        <v>132</v>
      </c>
      <c r="F6" s="14" t="s">
        <v>133</v>
      </c>
      <c r="G6" s="14" t="s">
        <v>134</v>
      </c>
      <c r="H6" s="3"/>
      <c r="I6" s="3"/>
      <c r="J6" s="5" t="n">
        <v>16</v>
      </c>
      <c r="K6" s="6" t="str">
        <f aca="false">IF(I6="","",ROUND(H6+I6*INDEX('Stats by level'!$G$5:$Z$32,MATCH($A6&amp;"|Power",'Stats by level'!$A$5:$A$32,0),10),0))</f>
        <v/>
      </c>
      <c r="L6" s="6" t="str">
        <f aca="false">IF(I6="","",ROUND(H6+I6*INDEX('Stats by level'!$G$5:$Z$32,MATCH($A6&amp;"|Power",'Stats by level'!$A$5:$A$32,0),20),0))</f>
        <v/>
      </c>
    </row>
    <row r="7" customFormat="false" ht="15" hidden="false" customHeight="true" outlineLevel="0" collapsed="false">
      <c r="A7" s="3" t="s">
        <v>48</v>
      </c>
      <c r="B7" s="3" t="s">
        <v>135</v>
      </c>
      <c r="C7" s="3" t="s">
        <v>136</v>
      </c>
      <c r="D7" s="14" t="s">
        <v>137</v>
      </c>
      <c r="E7" s="14" t="s">
        <v>138</v>
      </c>
      <c r="F7" s="14" t="s">
        <v>139</v>
      </c>
      <c r="G7" s="14" t="s">
        <v>140</v>
      </c>
      <c r="H7" s="5" t="n">
        <v>80</v>
      </c>
      <c r="I7" s="5" t="n">
        <v>1</v>
      </c>
      <c r="J7" s="5" t="n">
        <v>18</v>
      </c>
      <c r="K7" s="6" t="n">
        <f aca="false">IF(I7="","",ROUND(H7+I7*INDEX('Stats by level'!$G$5:$Z$32,MATCH($A7&amp;"|Power",'Stats by level'!$A$5:$A$32,0),10),0))</f>
        <v>180</v>
      </c>
      <c r="L7" s="6" t="n">
        <f aca="false">IF(I7="","",ROUND(H7+I7*INDEX('Stats by level'!$G$5:$Z$32,MATCH($A7&amp;"|Power",'Stats by level'!$A$5:$A$32,0),20),0))</f>
        <v>260</v>
      </c>
    </row>
    <row r="8" customFormat="false" ht="39" hidden="false" customHeight="true" outlineLevel="0" collapsed="false">
      <c r="A8" s="3" t="s">
        <v>57</v>
      </c>
      <c r="B8" s="3" t="s">
        <v>118</v>
      </c>
      <c r="C8" s="3" t="s">
        <v>141</v>
      </c>
      <c r="D8" s="14" t="s">
        <v>142</v>
      </c>
      <c r="E8" s="14" t="s">
        <v>143</v>
      </c>
      <c r="F8" s="14"/>
      <c r="G8" s="14" t="s">
        <v>144</v>
      </c>
      <c r="H8" s="5" t="n">
        <v>0</v>
      </c>
      <c r="I8" s="5" t="n">
        <v>1</v>
      </c>
      <c r="J8" s="3"/>
      <c r="K8" s="6" t="n">
        <f aca="false">IF(I8="","",ROUND(H8+I8*INDEX('Stats by level'!$G$5:$Z$32,MATCH($A8&amp;"|Power",'Stats by level'!$A$5:$A$32,0),10),0))</f>
        <v>130</v>
      </c>
      <c r="L8" s="6" t="n">
        <f aca="false">IF(I8="","",ROUND(H8+I8*INDEX('Stats by level'!$G$5:$Z$32,MATCH($A8&amp;"|Power",'Stats by level'!$A$5:$A$32,0),20),0))</f>
        <v>240</v>
      </c>
    </row>
    <row r="9" customFormat="false" ht="26.25" hidden="false" customHeight="true" outlineLevel="0" collapsed="false">
      <c r="A9" s="3" t="s">
        <v>57</v>
      </c>
      <c r="B9" s="3" t="s">
        <v>123</v>
      </c>
      <c r="C9" s="3" t="s">
        <v>145</v>
      </c>
      <c r="D9" s="14" t="s">
        <v>146</v>
      </c>
      <c r="E9" s="14" t="s">
        <v>147</v>
      </c>
      <c r="F9" s="14" t="s">
        <v>148</v>
      </c>
      <c r="G9" s="14" t="s">
        <v>149</v>
      </c>
      <c r="H9" s="5" t="n">
        <v>70</v>
      </c>
      <c r="I9" s="5" t="n">
        <v>1</v>
      </c>
      <c r="J9" s="5" t="n">
        <v>10</v>
      </c>
      <c r="K9" s="6" t="n">
        <f aca="false">IF(I9="","",ROUND(H9+I9*INDEX('Stats by level'!$G$5:$Z$32,MATCH($A9&amp;"|Power",'Stats by level'!$A$5:$A$32,0),10),0))</f>
        <v>200</v>
      </c>
      <c r="L9" s="6" t="n">
        <f aca="false">IF(I9="","",ROUND(H9+I9*INDEX('Stats by level'!$G$5:$Z$32,MATCH($A9&amp;"|Power",'Stats by level'!$A$5:$A$32,0),20),0))</f>
        <v>310</v>
      </c>
    </row>
    <row r="10" customFormat="false" ht="26.25" hidden="false" customHeight="true" outlineLevel="0" collapsed="false">
      <c r="A10" s="3" t="s">
        <v>57</v>
      </c>
      <c r="B10" s="3" t="s">
        <v>129</v>
      </c>
      <c r="C10" s="3" t="s">
        <v>150</v>
      </c>
      <c r="D10" s="14" t="s">
        <v>151</v>
      </c>
      <c r="E10" s="14" t="s">
        <v>152</v>
      </c>
      <c r="F10" s="14" t="s">
        <v>153</v>
      </c>
      <c r="G10" s="14" t="s">
        <v>154</v>
      </c>
      <c r="H10" s="5" t="n">
        <v>50</v>
      </c>
      <c r="I10" s="5" t="n">
        <v>0.6</v>
      </c>
      <c r="J10" s="5" t="n">
        <v>9</v>
      </c>
      <c r="K10" s="6" t="n">
        <f aca="false">IF(I10="","",ROUND(H10+I10*INDEX('Stats by level'!$G$5:$Z$32,MATCH($A10&amp;"|Power",'Stats by level'!$A$5:$A$32,0),10),0))</f>
        <v>128</v>
      </c>
      <c r="L10" s="6" t="n">
        <f aca="false">IF(I10="","",ROUND(H10+I10*INDEX('Stats by level'!$G$5:$Z$32,MATCH($A10&amp;"|Power",'Stats by level'!$A$5:$A$32,0),20),0))</f>
        <v>194</v>
      </c>
    </row>
    <row r="11" customFormat="false" ht="26.25" hidden="false" customHeight="true" outlineLevel="0" collapsed="false">
      <c r="A11" s="3" t="s">
        <v>57</v>
      </c>
      <c r="B11" s="3" t="s">
        <v>135</v>
      </c>
      <c r="C11" s="3" t="s">
        <v>155</v>
      </c>
      <c r="D11" s="14" t="s">
        <v>151</v>
      </c>
      <c r="E11" s="14" t="s">
        <v>156</v>
      </c>
      <c r="F11" s="14" t="s">
        <v>157</v>
      </c>
      <c r="G11" s="14" t="s">
        <v>158</v>
      </c>
      <c r="H11" s="5" t="n">
        <v>40</v>
      </c>
      <c r="I11" s="5" t="n">
        <v>0.5</v>
      </c>
      <c r="J11" s="5" t="n">
        <v>16</v>
      </c>
      <c r="K11" s="6" t="n">
        <f aca="false">IF(I11="","",ROUND(H11+I11*INDEX('Stats by level'!$G$5:$Z$32,MATCH($A11&amp;"|Power",'Stats by level'!$A$5:$A$32,0),10),0))</f>
        <v>105</v>
      </c>
      <c r="L11" s="6" t="n">
        <f aca="false">IF(I11="","",ROUND(H11+I11*INDEX('Stats by level'!$G$5:$Z$32,MATCH($A11&amp;"|Power",'Stats by level'!$A$5:$A$32,0),20),0))</f>
        <v>160</v>
      </c>
    </row>
    <row r="12" customFormat="false" ht="39" hidden="false" customHeight="true" outlineLevel="0" collapsed="false">
      <c r="A12" s="3" t="s">
        <v>62</v>
      </c>
      <c r="B12" s="3" t="s">
        <v>118</v>
      </c>
      <c r="C12" s="3" t="s">
        <v>159</v>
      </c>
      <c r="D12" s="14" t="s">
        <v>120</v>
      </c>
      <c r="E12" s="14" t="s">
        <v>160</v>
      </c>
      <c r="F12" s="14"/>
      <c r="G12" s="14" t="s">
        <v>161</v>
      </c>
      <c r="H12" s="5" t="n">
        <v>0</v>
      </c>
      <c r="I12" s="5" t="n">
        <v>0.9</v>
      </c>
      <c r="J12" s="3"/>
      <c r="K12" s="6" t="n">
        <f aca="false">IF(I12="","",ROUND(H12+I12*INDEX('Stats by level'!$G$5:$Z$32,MATCH($A12&amp;"|Power",'Stats by level'!$A$5:$A$32,0),10),0))</f>
        <v>77</v>
      </c>
      <c r="L12" s="6" t="n">
        <f aca="false">IF(I12="","",ROUND(H12+I12*INDEX('Stats by level'!$G$5:$Z$32,MATCH($A12&amp;"|Power",'Stats by level'!$A$5:$A$32,0),20),0))</f>
        <v>135</v>
      </c>
    </row>
    <row r="13" customFormat="false" ht="26.25" hidden="false" customHeight="true" outlineLevel="0" collapsed="false">
      <c r="A13" s="3" t="s">
        <v>62</v>
      </c>
      <c r="B13" s="3" t="s">
        <v>123</v>
      </c>
      <c r="C13" s="3" t="s">
        <v>162</v>
      </c>
      <c r="D13" s="14" t="s">
        <v>163</v>
      </c>
      <c r="E13" s="14" t="s">
        <v>164</v>
      </c>
      <c r="F13" s="14" t="s">
        <v>165</v>
      </c>
      <c r="G13" s="14" t="s">
        <v>166</v>
      </c>
      <c r="H13" s="5" t="n">
        <v>400</v>
      </c>
      <c r="I13" s="5" t="n">
        <v>2</v>
      </c>
      <c r="J13" s="5" t="n">
        <v>18</v>
      </c>
      <c r="K13" s="6" t="n">
        <f aca="false">IF(I13="","",ROUND(H13+I13*INDEX('Stats by level'!$G$5:$Z$32,MATCH($A13&amp;"|Power",'Stats by level'!$A$5:$A$32,0),10),0))</f>
        <v>570</v>
      </c>
      <c r="L13" s="6" t="n">
        <f aca="false">IF(I13="","",ROUND(H13+I13*INDEX('Stats by level'!$G$5:$Z$32,MATCH($A13&amp;"|Power",'Stats by level'!$A$5:$A$32,0),20),0))</f>
        <v>700</v>
      </c>
    </row>
    <row r="14" customFormat="false" ht="15" hidden="false" customHeight="true" outlineLevel="0" collapsed="false">
      <c r="A14" s="3" t="s">
        <v>62</v>
      </c>
      <c r="B14" s="3" t="s">
        <v>129</v>
      </c>
      <c r="C14" s="3" t="s">
        <v>167</v>
      </c>
      <c r="D14" s="14" t="s">
        <v>168</v>
      </c>
      <c r="E14" s="14" t="s">
        <v>169</v>
      </c>
      <c r="F14" s="14" t="s">
        <v>170</v>
      </c>
      <c r="G14" s="14" t="s">
        <v>171</v>
      </c>
      <c r="H14" s="5" t="n">
        <v>120</v>
      </c>
      <c r="I14" s="5" t="n">
        <v>1</v>
      </c>
      <c r="J14" s="5" t="n">
        <v>16</v>
      </c>
      <c r="K14" s="6" t="n">
        <f aca="false">IF(I14="","",ROUND(H14+I14*INDEX('Stats by level'!$G$5:$Z$32,MATCH($A14&amp;"|Power",'Stats by level'!$A$5:$A$32,0),10),0))</f>
        <v>205</v>
      </c>
      <c r="L14" s="6" t="n">
        <f aca="false">IF(I14="","",ROUND(H14+I14*INDEX('Stats by level'!$G$5:$Z$32,MATCH($A14&amp;"|Power",'Stats by level'!$A$5:$A$32,0),20),0))</f>
        <v>270</v>
      </c>
    </row>
    <row r="15" customFormat="false" ht="26.25" hidden="false" customHeight="true" outlineLevel="0" collapsed="false">
      <c r="A15" s="3" t="s">
        <v>62</v>
      </c>
      <c r="B15" s="3" t="s">
        <v>135</v>
      </c>
      <c r="C15" s="3" t="s">
        <v>172</v>
      </c>
      <c r="D15" s="14" t="s">
        <v>173</v>
      </c>
      <c r="E15" s="14" t="s">
        <v>174</v>
      </c>
      <c r="F15" s="14" t="s">
        <v>175</v>
      </c>
      <c r="G15" s="14" t="s">
        <v>176</v>
      </c>
      <c r="H15" s="5" t="n">
        <v>30</v>
      </c>
      <c r="I15" s="5" t="n">
        <v>0.4</v>
      </c>
      <c r="J15" s="5" t="n">
        <v>14</v>
      </c>
      <c r="K15" s="6" t="n">
        <f aca="false">IF(I15="","",ROUND(H15+I15*INDEX('Stats by level'!$G$5:$Z$32,MATCH($A15&amp;"|Power",'Stats by level'!$A$5:$A$32,0),10),0))</f>
        <v>64</v>
      </c>
      <c r="L15" s="6" t="n">
        <f aca="false">IF(I15="","",ROUND(H15+I15*INDEX('Stats by level'!$G$5:$Z$32,MATCH($A15&amp;"|Power",'Stats by level'!$A$5:$A$32,0),20),0))</f>
        <v>90</v>
      </c>
    </row>
    <row r="16" customFormat="false" ht="39" hidden="false" customHeight="true" outlineLevel="0" collapsed="false">
      <c r="A16" s="3" t="s">
        <v>67</v>
      </c>
      <c r="B16" s="3" t="s">
        <v>118</v>
      </c>
      <c r="C16" s="3" t="s">
        <v>177</v>
      </c>
      <c r="D16" s="14" t="s">
        <v>178</v>
      </c>
      <c r="E16" s="14" t="s">
        <v>179</v>
      </c>
      <c r="F16" s="14"/>
      <c r="G16" s="14" t="s">
        <v>180</v>
      </c>
      <c r="H16" s="5" t="n">
        <v>0</v>
      </c>
      <c r="I16" s="5" t="n">
        <v>0.8</v>
      </c>
      <c r="J16" s="3"/>
      <c r="K16" s="6" t="n">
        <f aca="false">IF(I16="","",ROUND(H16+I16*INDEX('Stats by level'!$G$5:$Z$32,MATCH($A16&amp;"|Power",'Stats by level'!$A$5:$A$32,0),10),0))</f>
        <v>92</v>
      </c>
      <c r="L16" s="6" t="n">
        <f aca="false">IF(I16="","",ROUND(H16+I16*INDEX('Stats by level'!$G$5:$Z$32,MATCH($A16&amp;"|Power",'Stats by level'!$A$5:$A$32,0),20),0))</f>
        <v>168</v>
      </c>
    </row>
    <row r="17" customFormat="false" ht="26.25" hidden="false" customHeight="true" outlineLevel="0" collapsed="false">
      <c r="A17" s="3" t="s">
        <v>67</v>
      </c>
      <c r="B17" s="3" t="s">
        <v>123</v>
      </c>
      <c r="C17" s="3" t="s">
        <v>181</v>
      </c>
      <c r="D17" s="14" t="s">
        <v>182</v>
      </c>
      <c r="E17" s="14" t="s">
        <v>183</v>
      </c>
      <c r="F17" s="14" t="s">
        <v>184</v>
      </c>
      <c r="G17" s="14" t="s">
        <v>134</v>
      </c>
      <c r="H17" s="3"/>
      <c r="I17" s="3"/>
      <c r="J17" s="5" t="n">
        <v>14</v>
      </c>
      <c r="K17" s="6" t="str">
        <f aca="false">IF(I17="","",ROUND(H17+I17*INDEX('Stats by level'!$G$5:$Z$32,MATCH($A17&amp;"|Power",'Stats by level'!$A$5:$A$32,0),10),0))</f>
        <v/>
      </c>
      <c r="L17" s="6" t="str">
        <f aca="false">IF(I17="","",ROUND(H17+I17*INDEX('Stats by level'!$G$5:$Z$32,MATCH($A17&amp;"|Power",'Stats by level'!$A$5:$A$32,0),20),0))</f>
        <v/>
      </c>
    </row>
    <row r="18" customFormat="false" ht="15" hidden="false" customHeight="true" outlineLevel="0" collapsed="false">
      <c r="A18" s="3" t="s">
        <v>67</v>
      </c>
      <c r="B18" s="3" t="s">
        <v>129</v>
      </c>
      <c r="C18" s="3" t="s">
        <v>185</v>
      </c>
      <c r="D18" s="14" t="s">
        <v>186</v>
      </c>
      <c r="E18" s="14" t="s">
        <v>187</v>
      </c>
      <c r="F18" s="14" t="s">
        <v>188</v>
      </c>
      <c r="G18" s="14" t="s">
        <v>134</v>
      </c>
      <c r="H18" s="3"/>
      <c r="I18" s="3"/>
      <c r="J18" s="5" t="n">
        <v>12</v>
      </c>
      <c r="K18" s="6" t="str">
        <f aca="false">IF(I18="","",ROUND(H18+I18*INDEX('Stats by level'!$G$5:$Z$32,MATCH($A18&amp;"|Power",'Stats by level'!$A$5:$A$32,0),10),0))</f>
        <v/>
      </c>
      <c r="L18" s="6" t="str">
        <f aca="false">IF(I18="","",ROUND(H18+I18*INDEX('Stats by level'!$G$5:$Z$32,MATCH($A18&amp;"|Power",'Stats by level'!$A$5:$A$32,0),20),0))</f>
        <v/>
      </c>
    </row>
    <row r="19" customFormat="false" ht="26.25" hidden="false" customHeight="true" outlineLevel="0" collapsed="false">
      <c r="A19" s="3" t="s">
        <v>67</v>
      </c>
      <c r="B19" s="3" t="s">
        <v>135</v>
      </c>
      <c r="C19" s="3" t="s">
        <v>189</v>
      </c>
      <c r="D19" s="14" t="s">
        <v>190</v>
      </c>
      <c r="E19" s="14" t="s">
        <v>191</v>
      </c>
      <c r="F19" s="14" t="s">
        <v>192</v>
      </c>
      <c r="G19" s="14" t="s">
        <v>193</v>
      </c>
      <c r="H19" s="5" t="n">
        <v>40</v>
      </c>
      <c r="I19" s="5" t="n">
        <v>0.5</v>
      </c>
      <c r="J19" s="5" t="n">
        <v>20</v>
      </c>
      <c r="K19" s="6" t="n">
        <f aca="false">IF(I19="","",ROUND(H19+I19*INDEX('Stats by level'!$G$5:$Z$32,MATCH($A19&amp;"|Power",'Stats by level'!$A$5:$A$32,0),10),0))</f>
        <v>98</v>
      </c>
      <c r="L19" s="6" t="n">
        <f aca="false">IF(I19="","",ROUND(H19+I19*INDEX('Stats by level'!$G$5:$Z$32,MATCH($A19&amp;"|Power",'Stats by level'!$A$5:$A$32,0),20),0))</f>
        <v>145</v>
      </c>
    </row>
    <row r="20" customFormat="false" ht="39" hidden="false" customHeight="true" outlineLevel="0" collapsed="false">
      <c r="A20" s="3" t="s">
        <v>72</v>
      </c>
      <c r="B20" s="3" t="s">
        <v>118</v>
      </c>
      <c r="C20" s="3" t="s">
        <v>194</v>
      </c>
      <c r="D20" s="14" t="s">
        <v>142</v>
      </c>
      <c r="E20" s="14" t="s">
        <v>195</v>
      </c>
      <c r="F20" s="14"/>
      <c r="G20" s="14" t="s">
        <v>196</v>
      </c>
      <c r="H20" s="5" t="n">
        <v>0</v>
      </c>
      <c r="I20" s="5" t="n">
        <v>0.8</v>
      </c>
      <c r="J20" s="3"/>
      <c r="K20" s="6" t="n">
        <f aca="false">IF(I20="","",ROUND(H20+I20*INDEX('Stats by level'!$G$5:$Z$32,MATCH($A20&amp;"|Power",'Stats by level'!$A$5:$A$32,0),10),0))</f>
        <v>100</v>
      </c>
      <c r="L20" s="6" t="n">
        <f aca="false">IF(I20="","",ROUND(H20+I20*INDEX('Stats by level'!$G$5:$Z$32,MATCH($A20&amp;"|Power",'Stats by level'!$A$5:$A$32,0),20),0))</f>
        <v>184</v>
      </c>
    </row>
    <row r="21" customFormat="false" ht="39" hidden="false" customHeight="true" outlineLevel="0" collapsed="false">
      <c r="A21" s="3" t="s">
        <v>72</v>
      </c>
      <c r="B21" s="3" t="s">
        <v>123</v>
      </c>
      <c r="C21" s="3" t="s">
        <v>197</v>
      </c>
      <c r="D21" s="14" t="s">
        <v>198</v>
      </c>
      <c r="E21" s="14" t="s">
        <v>199</v>
      </c>
      <c r="F21" s="14" t="s">
        <v>200</v>
      </c>
      <c r="G21" s="14" t="s">
        <v>201</v>
      </c>
      <c r="H21" s="5" t="n">
        <v>40</v>
      </c>
      <c r="I21" s="5" t="n">
        <v>0.6</v>
      </c>
      <c r="J21" s="5" t="n">
        <v>8</v>
      </c>
      <c r="K21" s="6" t="n">
        <f aca="false">IF(I21="","",ROUND(H21+I21*INDEX('Stats by level'!$G$5:$Z$32,MATCH($A21&amp;"|Power",'Stats by level'!$A$5:$A$32,0),10),0))</f>
        <v>115</v>
      </c>
      <c r="L21" s="6" t="n">
        <f aca="false">IF(I21="","",ROUND(H21+I21*INDEX('Stats by level'!$G$5:$Z$32,MATCH($A21&amp;"|Power",'Stats by level'!$A$5:$A$32,0),20),0))</f>
        <v>178</v>
      </c>
    </row>
    <row r="22" customFormat="false" ht="26.25" hidden="false" customHeight="true" outlineLevel="0" collapsed="false">
      <c r="A22" s="3" t="s">
        <v>72</v>
      </c>
      <c r="B22" s="3" t="s">
        <v>129</v>
      </c>
      <c r="C22" s="3" t="s">
        <v>202</v>
      </c>
      <c r="D22" s="14" t="s">
        <v>203</v>
      </c>
      <c r="E22" s="14" t="s">
        <v>204</v>
      </c>
      <c r="F22" s="14" t="s">
        <v>205</v>
      </c>
      <c r="G22" s="14" t="s">
        <v>134</v>
      </c>
      <c r="H22" s="3"/>
      <c r="I22" s="3"/>
      <c r="J22" s="5" t="n">
        <v>16</v>
      </c>
      <c r="K22" s="6" t="str">
        <f aca="false">IF(I22="","",ROUND(H22+I22*INDEX('Stats by level'!$G$5:$Z$32,MATCH($A22&amp;"|Power",'Stats by level'!$A$5:$A$32,0),10),0))</f>
        <v/>
      </c>
      <c r="L22" s="6" t="str">
        <f aca="false">IF(I22="","",ROUND(H22+I22*INDEX('Stats by level'!$G$5:$Z$32,MATCH($A22&amp;"|Power",'Stats by level'!$A$5:$A$32,0),20),0))</f>
        <v/>
      </c>
    </row>
    <row r="23" customFormat="false" ht="15" hidden="false" customHeight="true" outlineLevel="0" collapsed="false">
      <c r="A23" s="3" t="s">
        <v>72</v>
      </c>
      <c r="B23" s="3" t="s">
        <v>135</v>
      </c>
      <c r="C23" s="3" t="s">
        <v>206</v>
      </c>
      <c r="D23" s="14" t="s">
        <v>207</v>
      </c>
      <c r="E23" s="14" t="s">
        <v>208</v>
      </c>
      <c r="F23" s="14" t="s">
        <v>209</v>
      </c>
      <c r="G23" s="14" t="s">
        <v>210</v>
      </c>
      <c r="H23" s="5" t="n">
        <v>12</v>
      </c>
      <c r="I23" s="5" t="n">
        <v>0.15</v>
      </c>
      <c r="J23" s="5" t="n">
        <v>10</v>
      </c>
      <c r="K23" s="6" t="n">
        <f aca="false">IF(I23="","",ROUND(H23+I23*INDEX('Stats by level'!$G$5:$Z$32,MATCH($A23&amp;"|Power",'Stats by level'!$A$5:$A$32,0),10),0))</f>
        <v>31</v>
      </c>
      <c r="L23" s="6" t="n">
        <f aca="false">IF(I23="","",ROUND(H23+I23*INDEX('Stats by level'!$G$5:$Z$32,MATCH($A23&amp;"|Power",'Stats by level'!$A$5:$A$32,0),20),0))</f>
        <v>47</v>
      </c>
    </row>
    <row r="24" customFormat="false" ht="39" hidden="false" customHeight="true" outlineLevel="0" collapsed="false">
      <c r="A24" s="3" t="s">
        <v>77</v>
      </c>
      <c r="B24" s="3" t="s">
        <v>118</v>
      </c>
      <c r="C24" s="3" t="s">
        <v>211</v>
      </c>
      <c r="D24" s="14" t="s">
        <v>212</v>
      </c>
      <c r="E24" s="14" t="s">
        <v>213</v>
      </c>
      <c r="F24" s="14"/>
      <c r="G24" s="14" t="s">
        <v>214</v>
      </c>
      <c r="H24" s="5" t="n">
        <v>0</v>
      </c>
      <c r="I24" s="5" t="n">
        <v>1.1</v>
      </c>
      <c r="J24" s="3"/>
      <c r="K24" s="6" t="n">
        <f aca="false">IF(I24="","",ROUND(H24+I24*INDEX('Stats by level'!$G$5:$Z$32,MATCH($A24&amp;"|Power",'Stats by level'!$A$5:$A$32,0),10),0))</f>
        <v>154</v>
      </c>
      <c r="L24" s="6" t="n">
        <f aca="false">IF(I24="","",ROUND(H24+I24*INDEX('Stats by level'!$G$5:$Z$32,MATCH($A24&amp;"|Power",'Stats by level'!$A$5:$A$32,0),20),0))</f>
        <v>286</v>
      </c>
    </row>
    <row r="25" customFormat="false" ht="39" hidden="false" customHeight="true" outlineLevel="0" collapsed="false">
      <c r="A25" s="3" t="s">
        <v>77</v>
      </c>
      <c r="B25" s="3" t="s">
        <v>123</v>
      </c>
      <c r="C25" s="3" t="s">
        <v>215</v>
      </c>
      <c r="D25" s="14" t="s">
        <v>216</v>
      </c>
      <c r="E25" s="14" t="s">
        <v>217</v>
      </c>
      <c r="F25" s="14" t="s">
        <v>218</v>
      </c>
      <c r="G25" s="14" t="s">
        <v>219</v>
      </c>
      <c r="H25" s="5" t="n">
        <v>90</v>
      </c>
      <c r="I25" s="5" t="n">
        <v>1.2</v>
      </c>
      <c r="J25" s="5" t="n">
        <v>9</v>
      </c>
      <c r="K25" s="6" t="n">
        <f aca="false">IF(I25="","",ROUND(H25+I25*INDEX('Stats by level'!$G$5:$Z$32,MATCH($A25&amp;"|Power",'Stats by level'!$A$5:$A$32,0),10),0))</f>
        <v>258</v>
      </c>
      <c r="L25" s="6" t="n">
        <f aca="false">IF(I25="","",ROUND(H25+I25*INDEX('Stats by level'!$G$5:$Z$32,MATCH($A25&amp;"|Power",'Stats by level'!$A$5:$A$32,0),20),0))</f>
        <v>402</v>
      </c>
    </row>
    <row r="26" customFormat="false" ht="26.25" hidden="false" customHeight="true" outlineLevel="0" collapsed="false">
      <c r="A26" s="3" t="s">
        <v>77</v>
      </c>
      <c r="B26" s="3" t="s">
        <v>129</v>
      </c>
      <c r="C26" s="3" t="s">
        <v>220</v>
      </c>
      <c r="D26" s="14" t="s">
        <v>221</v>
      </c>
      <c r="E26" s="14" t="s">
        <v>222</v>
      </c>
      <c r="F26" s="14" t="s">
        <v>223</v>
      </c>
      <c r="G26" s="14" t="s">
        <v>224</v>
      </c>
      <c r="H26" s="5" t="n">
        <v>300</v>
      </c>
      <c r="I26" s="5" t="n">
        <v>1.5</v>
      </c>
      <c r="J26" s="5" t="n">
        <v>16</v>
      </c>
      <c r="K26" s="6" t="n">
        <f aca="false">IF(I26="","",ROUND(H26+I26*INDEX('Stats by level'!$G$5:$Z$32,MATCH($A26&amp;"|Power",'Stats by level'!$A$5:$A$32,0),10),0))</f>
        <v>510</v>
      </c>
      <c r="L26" s="6" t="n">
        <f aca="false">IF(I26="","",ROUND(H26+I26*INDEX('Stats by level'!$G$5:$Z$32,MATCH($A26&amp;"|Power",'Stats by level'!$A$5:$A$32,0),20),0))</f>
        <v>690</v>
      </c>
    </row>
    <row r="27" customFormat="false" ht="26.25" hidden="false" customHeight="true" outlineLevel="0" collapsed="false">
      <c r="A27" s="3" t="s">
        <v>77</v>
      </c>
      <c r="B27" s="3" t="s">
        <v>135</v>
      </c>
      <c r="C27" s="3" t="s">
        <v>225</v>
      </c>
      <c r="D27" s="14" t="s">
        <v>226</v>
      </c>
      <c r="E27" s="14" t="s">
        <v>208</v>
      </c>
      <c r="F27" s="14" t="s">
        <v>227</v>
      </c>
      <c r="G27" s="14" t="s">
        <v>228</v>
      </c>
      <c r="H27" s="5" t="n">
        <v>25</v>
      </c>
      <c r="I27" s="5" t="n">
        <v>0.3</v>
      </c>
      <c r="J27" s="5" t="n">
        <v>6</v>
      </c>
      <c r="K27" s="6" t="n">
        <f aca="false">IF(I27="","",ROUND(H27+I27*INDEX('Stats by level'!$G$5:$Z$32,MATCH($A27&amp;"|Power",'Stats by level'!$A$5:$A$32,0),10),0))</f>
        <v>67</v>
      </c>
      <c r="L27" s="6" t="n">
        <f aca="false">IF(I27="","",ROUND(H27+I27*INDEX('Stats by level'!$G$5:$Z$32,MATCH($A27&amp;"|Power",'Stats by level'!$A$5:$A$32,0),20),0))</f>
        <v>103</v>
      </c>
    </row>
    <row r="28" customFormat="false" ht="39" hidden="false" customHeight="true" outlineLevel="0" collapsed="false">
      <c r="A28" s="3" t="s">
        <v>82</v>
      </c>
      <c r="B28" s="3" t="s">
        <v>118</v>
      </c>
      <c r="C28" s="3" t="s">
        <v>229</v>
      </c>
      <c r="D28" s="14" t="s">
        <v>120</v>
      </c>
      <c r="E28" s="14" t="s">
        <v>230</v>
      </c>
      <c r="F28" s="14"/>
      <c r="G28" s="14" t="s">
        <v>231</v>
      </c>
      <c r="H28" s="5" t="n">
        <v>0</v>
      </c>
      <c r="I28" s="5" t="n">
        <v>0.9</v>
      </c>
      <c r="J28" s="3"/>
      <c r="K28" s="6" t="n">
        <f aca="false">IF(I28="","",ROUND(H28+I28*INDEX('Stats by level'!$G$5:$Z$32,MATCH($A28&amp;"|Power",'Stats by level'!$A$5:$A$32,0),10),0))</f>
        <v>77</v>
      </c>
      <c r="L28" s="6" t="n">
        <f aca="false">IF(I28="","",ROUND(H28+I28*INDEX('Stats by level'!$G$5:$Z$32,MATCH($A28&amp;"|Power",'Stats by level'!$A$5:$A$32,0),20),0))</f>
        <v>135</v>
      </c>
    </row>
    <row r="29" customFormat="false" ht="26.25" hidden="false" customHeight="true" outlineLevel="0" collapsed="false">
      <c r="A29" s="3" t="s">
        <v>82</v>
      </c>
      <c r="B29" s="3" t="s">
        <v>123</v>
      </c>
      <c r="C29" s="3" t="s">
        <v>232</v>
      </c>
      <c r="D29" s="14" t="s">
        <v>233</v>
      </c>
      <c r="E29" s="14" t="s">
        <v>199</v>
      </c>
      <c r="F29" s="14" t="s">
        <v>234</v>
      </c>
      <c r="G29" s="14" t="s">
        <v>235</v>
      </c>
      <c r="H29" s="5" t="n">
        <v>20</v>
      </c>
      <c r="I29" s="5" t="n">
        <v>0.3</v>
      </c>
      <c r="J29" s="5" t="n">
        <v>7</v>
      </c>
      <c r="K29" s="6" t="n">
        <f aca="false">IF(I29="","",ROUND(H29+I29*INDEX('Stats by level'!$G$5:$Z$32,MATCH($A29&amp;"|Power",'Stats by level'!$A$5:$A$32,0),10),0))</f>
        <v>46</v>
      </c>
      <c r="L29" s="6" t="n">
        <f aca="false">IF(I29="","",ROUND(H29+I29*INDEX('Stats by level'!$G$5:$Z$32,MATCH($A29&amp;"|Power",'Stats by level'!$A$5:$A$32,0),20),0))</f>
        <v>65</v>
      </c>
    </row>
    <row r="30" customFormat="false" ht="26.25" hidden="false" customHeight="true" outlineLevel="0" collapsed="false">
      <c r="A30" s="3" t="s">
        <v>82</v>
      </c>
      <c r="B30" s="3" t="s">
        <v>129</v>
      </c>
      <c r="C30" s="3" t="s">
        <v>236</v>
      </c>
      <c r="D30" s="14" t="s">
        <v>237</v>
      </c>
      <c r="E30" s="14" t="s">
        <v>238</v>
      </c>
      <c r="F30" s="14" t="s">
        <v>239</v>
      </c>
      <c r="G30" s="14" t="s">
        <v>134</v>
      </c>
      <c r="H30" s="3"/>
      <c r="I30" s="3"/>
      <c r="J30" s="5" t="n">
        <v>24</v>
      </c>
      <c r="K30" s="6" t="str">
        <f aca="false">IF(I30="","",ROUND(H30+I30*INDEX('Stats by level'!$G$5:$Z$32,MATCH($A30&amp;"|Power",'Stats by level'!$A$5:$A$32,0),10),0))</f>
        <v/>
      </c>
      <c r="L30" s="6" t="str">
        <f aca="false">IF(I30="","",ROUND(H30+I30*INDEX('Stats by level'!$G$5:$Z$32,MATCH($A30&amp;"|Power",'Stats by level'!$A$5:$A$32,0),20),0))</f>
        <v/>
      </c>
    </row>
    <row r="31" customFormat="false" ht="26.25" hidden="false" customHeight="true" outlineLevel="0" collapsed="false">
      <c r="A31" s="3" t="s">
        <v>82</v>
      </c>
      <c r="B31" s="3" t="s">
        <v>135</v>
      </c>
      <c r="C31" s="3" t="s">
        <v>240</v>
      </c>
      <c r="D31" s="14" t="s">
        <v>241</v>
      </c>
      <c r="E31" s="14" t="s">
        <v>242</v>
      </c>
      <c r="F31" s="14" t="s">
        <v>243</v>
      </c>
      <c r="G31" s="14" t="s">
        <v>134</v>
      </c>
      <c r="H31" s="3"/>
      <c r="I31" s="3"/>
      <c r="J31" s="5" t="n">
        <v>22</v>
      </c>
      <c r="K31" s="6" t="str">
        <f aca="false">IF(I31="","",ROUND(H31+I31*INDEX('Stats by level'!$G$5:$Z$32,MATCH($A31&amp;"|Power",'Stats by level'!$A$5:$A$32,0),10),0))</f>
        <v/>
      </c>
      <c r="L31" s="6" t="str">
        <f aca="false">IF(I31="","",ROUND(H31+I31*INDEX('Stats by level'!$G$5:$Z$32,MATCH($A31&amp;"|Power",'Stats by level'!$A$5:$A$32,0),20),0))</f>
        <v/>
      </c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true" outlineLevel="0" collapsed="false">
      <c r="A33" s="3" t="s">
        <v>244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50"/>
    <col collapsed="false" customWidth="true" hidden="false" outlineLevel="0" max="7" min="7" style="1" width="26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2" min="12" style="1" width="11"/>
  </cols>
  <sheetData>
    <row r="1" customFormat="false" ht="17.25" hidden="false" customHeight="true" outlineLevel="0" collapsed="false">
      <c r="A1" s="2" t="s">
        <v>245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5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26.25" hidden="false" customHeight="true" outlineLevel="0" collapsed="false">
      <c r="A3" s="9" t="s">
        <v>21</v>
      </c>
      <c r="B3" s="9" t="s">
        <v>246</v>
      </c>
      <c r="C3" s="9" t="s">
        <v>247</v>
      </c>
      <c r="D3" s="9" t="s">
        <v>248</v>
      </c>
      <c r="E3" s="9" t="s">
        <v>110</v>
      </c>
      <c r="F3" s="9" t="s">
        <v>111</v>
      </c>
      <c r="G3" s="9" t="s">
        <v>112</v>
      </c>
      <c r="H3" s="9" t="s">
        <v>113</v>
      </c>
      <c r="I3" s="9" t="s">
        <v>114</v>
      </c>
      <c r="J3" s="9" t="s">
        <v>115</v>
      </c>
      <c r="K3" s="9" t="s">
        <v>249</v>
      </c>
      <c r="L3" s="9" t="s">
        <v>117</v>
      </c>
    </row>
    <row r="4" customFormat="false" ht="26.25" hidden="false" customHeight="true" outlineLevel="0" collapsed="false">
      <c r="A4" s="3" t="s">
        <v>48</v>
      </c>
      <c r="B4" s="3" t="s">
        <v>250</v>
      </c>
      <c r="C4" s="3" t="s">
        <v>251</v>
      </c>
      <c r="D4" s="14" t="s">
        <v>252</v>
      </c>
      <c r="E4" s="14" t="s">
        <v>253</v>
      </c>
      <c r="F4" s="14" t="s">
        <v>254</v>
      </c>
      <c r="G4" s="14" t="s">
        <v>255</v>
      </c>
      <c r="H4" s="5" t="n">
        <v>30</v>
      </c>
      <c r="I4" s="5" t="n">
        <v>0.3</v>
      </c>
      <c r="J4" s="5" t="n">
        <v>100</v>
      </c>
      <c r="K4" s="3"/>
      <c r="L4" s="6" t="n">
        <f aca="false">IF(I4="","",ROUND(H4+I4*INDEX('Stats by level'!$G$5:$Z$32,MATCH($A4&amp;"|Power",'Stats by level'!$A$5:$A$32,0),20),0))</f>
        <v>84</v>
      </c>
    </row>
    <row r="5" customFormat="false" ht="26.25" hidden="false" customHeight="true" outlineLevel="0" collapsed="false">
      <c r="A5" s="3" t="s">
        <v>48</v>
      </c>
      <c r="B5" s="3" t="s">
        <v>250</v>
      </c>
      <c r="C5" s="3" t="s">
        <v>256</v>
      </c>
      <c r="D5" s="14" t="s">
        <v>257</v>
      </c>
      <c r="E5" s="14" t="s">
        <v>258</v>
      </c>
      <c r="F5" s="14" t="s">
        <v>259</v>
      </c>
      <c r="G5" s="14" t="s">
        <v>260</v>
      </c>
      <c r="H5" s="5" t="n">
        <v>100</v>
      </c>
      <c r="I5" s="5" t="n">
        <v>1</v>
      </c>
      <c r="J5" s="5" t="n">
        <v>110</v>
      </c>
      <c r="K5" s="3"/>
      <c r="L5" s="6" t="n">
        <f aca="false">IF(I5="","",ROUND(H5+I5*INDEX('Stats by level'!$G$5:$Z$32,MATCH($A5&amp;"|Power",'Stats by level'!$A$5:$A$32,0),20),0))</f>
        <v>280</v>
      </c>
    </row>
    <row r="6" customFormat="false" ht="15" hidden="false" customHeight="true" outlineLevel="0" collapsed="false">
      <c r="A6" s="3" t="s">
        <v>48</v>
      </c>
      <c r="B6" s="3" t="s">
        <v>250</v>
      </c>
      <c r="C6" s="3" t="s">
        <v>261</v>
      </c>
      <c r="D6" s="14" t="s">
        <v>262</v>
      </c>
      <c r="E6" s="14" t="s">
        <v>263</v>
      </c>
      <c r="F6" s="14" t="s">
        <v>264</v>
      </c>
      <c r="G6" s="14" t="s">
        <v>265</v>
      </c>
      <c r="H6" s="5" t="n">
        <v>150</v>
      </c>
      <c r="I6" s="5" t="n">
        <v>1.5</v>
      </c>
      <c r="J6" s="5" t="n">
        <v>90</v>
      </c>
      <c r="K6" s="3" t="s">
        <v>266</v>
      </c>
      <c r="L6" s="6" t="n">
        <f aca="false">IF(I6="","",ROUND(H6+I6*INDEX('Stats by level'!$G$5:$Z$32,MATCH($A6&amp;"|Power",'Stats by level'!$A$5:$A$32,0),20),0))</f>
        <v>420</v>
      </c>
    </row>
    <row r="7" customFormat="false" ht="15" hidden="false" customHeight="true" outlineLevel="0" collapsed="false">
      <c r="A7" s="3" t="s">
        <v>48</v>
      </c>
      <c r="B7" s="3" t="s">
        <v>267</v>
      </c>
      <c r="C7" s="3" t="s">
        <v>268</v>
      </c>
      <c r="D7" s="14" t="s">
        <v>269</v>
      </c>
      <c r="E7" s="14" t="s">
        <v>270</v>
      </c>
      <c r="F7" s="14" t="s">
        <v>271</v>
      </c>
      <c r="G7" s="14" t="s">
        <v>134</v>
      </c>
      <c r="H7" s="3"/>
      <c r="I7" s="3"/>
      <c r="J7" s="5" t="n">
        <v>100</v>
      </c>
      <c r="K7" s="3"/>
      <c r="L7" s="6" t="str">
        <f aca="false">IF(I7="","",ROUND(H7+I7*INDEX('Stats by level'!$G$5:$Z$32,MATCH($A7&amp;"|Power",'Stats by level'!$A$5:$A$32,0),20),0))</f>
        <v/>
      </c>
    </row>
    <row r="8" customFormat="false" ht="26.25" hidden="false" customHeight="true" outlineLevel="0" collapsed="false">
      <c r="A8" s="3" t="s">
        <v>48</v>
      </c>
      <c r="B8" s="3" t="s">
        <v>267</v>
      </c>
      <c r="C8" s="3" t="s">
        <v>272</v>
      </c>
      <c r="D8" s="14" t="s">
        <v>273</v>
      </c>
      <c r="E8" s="14" t="s">
        <v>274</v>
      </c>
      <c r="F8" s="14" t="s">
        <v>275</v>
      </c>
      <c r="G8" s="14" t="s">
        <v>134</v>
      </c>
      <c r="H8" s="3"/>
      <c r="I8" s="3"/>
      <c r="J8" s="5" t="n">
        <v>120</v>
      </c>
      <c r="K8" s="3"/>
      <c r="L8" s="6" t="str">
        <f aca="false">IF(I8="","",ROUND(H8+I8*INDEX('Stats by level'!$G$5:$Z$32,MATCH($A8&amp;"|Power",'Stats by level'!$A$5:$A$32,0),20),0))</f>
        <v/>
      </c>
    </row>
    <row r="9" customFormat="false" ht="26.25" hidden="false" customHeight="true" outlineLevel="0" collapsed="false">
      <c r="A9" s="3" t="s">
        <v>48</v>
      </c>
      <c r="B9" s="3" t="s">
        <v>267</v>
      </c>
      <c r="C9" s="3" t="s">
        <v>276</v>
      </c>
      <c r="D9" s="14" t="s">
        <v>277</v>
      </c>
      <c r="E9" s="14" t="s">
        <v>278</v>
      </c>
      <c r="F9" s="14" t="s">
        <v>279</v>
      </c>
      <c r="G9" s="14" t="s">
        <v>134</v>
      </c>
      <c r="H9" s="3"/>
      <c r="I9" s="3"/>
      <c r="J9" s="5" t="n">
        <v>130</v>
      </c>
      <c r="K9" s="3"/>
      <c r="L9" s="6" t="str">
        <f aca="false">IF(I9="","",ROUND(H9+I9*INDEX('Stats by level'!$G$5:$Z$32,MATCH($A9&amp;"|Power",'Stats by level'!$A$5:$A$32,0),20),0))</f>
        <v/>
      </c>
    </row>
    <row r="10" customFormat="false" ht="15" hidden="false" customHeight="true" outlineLevel="0" collapsed="false">
      <c r="A10" s="3" t="s">
        <v>57</v>
      </c>
      <c r="B10" s="3" t="s">
        <v>250</v>
      </c>
      <c r="C10" s="3" t="s">
        <v>280</v>
      </c>
      <c r="D10" s="14" t="s">
        <v>281</v>
      </c>
      <c r="E10" s="14" t="s">
        <v>282</v>
      </c>
      <c r="F10" s="14" t="s">
        <v>283</v>
      </c>
      <c r="G10" s="14" t="s">
        <v>134</v>
      </c>
      <c r="H10" s="3"/>
      <c r="I10" s="3"/>
      <c r="J10" s="5" t="n">
        <v>90</v>
      </c>
      <c r="K10" s="3"/>
      <c r="L10" s="6" t="str">
        <f aca="false">IF(I10="","",ROUND(H10+I10*INDEX('Stats by level'!$G$5:$Z$32,MATCH($A10&amp;"|Power",'Stats by level'!$A$5:$A$32,0),20),0))</f>
        <v/>
      </c>
    </row>
    <row r="11" customFormat="false" ht="26.25" hidden="false" customHeight="true" outlineLevel="0" collapsed="false">
      <c r="A11" s="3" t="s">
        <v>57</v>
      </c>
      <c r="B11" s="3" t="s">
        <v>250</v>
      </c>
      <c r="C11" s="3" t="s">
        <v>284</v>
      </c>
      <c r="D11" s="14" t="s">
        <v>285</v>
      </c>
      <c r="E11" s="14" t="s">
        <v>286</v>
      </c>
      <c r="F11" s="14" t="s">
        <v>287</v>
      </c>
      <c r="G11" s="14" t="s">
        <v>288</v>
      </c>
      <c r="H11" s="5" t="n">
        <v>80</v>
      </c>
      <c r="I11" s="5" t="n">
        <v>0.8</v>
      </c>
      <c r="J11" s="5" t="n">
        <v>110</v>
      </c>
      <c r="K11" s="3"/>
      <c r="L11" s="6" t="n">
        <f aca="false">IF(I11="","",ROUND(H11+I11*INDEX('Stats by level'!$G$5:$Z$32,MATCH($A11&amp;"|Power",'Stats by level'!$A$5:$A$32,0),20),0))</f>
        <v>272</v>
      </c>
    </row>
    <row r="12" customFormat="false" ht="26.25" hidden="false" customHeight="true" outlineLevel="0" collapsed="false">
      <c r="A12" s="3" t="s">
        <v>57</v>
      </c>
      <c r="B12" s="3" t="s">
        <v>250</v>
      </c>
      <c r="C12" s="3" t="s">
        <v>289</v>
      </c>
      <c r="D12" s="14" t="s">
        <v>281</v>
      </c>
      <c r="E12" s="14" t="s">
        <v>290</v>
      </c>
      <c r="F12" s="14" t="s">
        <v>291</v>
      </c>
      <c r="G12" s="14" t="s">
        <v>134</v>
      </c>
      <c r="H12" s="3"/>
      <c r="I12" s="3"/>
      <c r="J12" s="5" t="n">
        <v>120</v>
      </c>
      <c r="K12" s="3"/>
      <c r="L12" s="6" t="str">
        <f aca="false">IF(I12="","",ROUND(H12+I12*INDEX('Stats by level'!$G$5:$Z$32,MATCH($A12&amp;"|Power",'Stats by level'!$A$5:$A$32,0),20),0))</f>
        <v/>
      </c>
    </row>
    <row r="13" customFormat="false" ht="26.25" hidden="false" customHeight="true" outlineLevel="0" collapsed="false">
      <c r="A13" s="3" t="s">
        <v>57</v>
      </c>
      <c r="B13" s="3" t="s">
        <v>267</v>
      </c>
      <c r="C13" s="3" t="s">
        <v>292</v>
      </c>
      <c r="D13" s="14" t="s">
        <v>293</v>
      </c>
      <c r="E13" s="14" t="s">
        <v>294</v>
      </c>
      <c r="F13" s="14" t="s">
        <v>295</v>
      </c>
      <c r="G13" s="14" t="s">
        <v>134</v>
      </c>
      <c r="H13" s="3"/>
      <c r="I13" s="3"/>
      <c r="J13" s="5" t="n">
        <v>100</v>
      </c>
      <c r="K13" s="3"/>
      <c r="L13" s="6" t="str">
        <f aca="false">IF(I13="","",ROUND(H13+I13*INDEX('Stats by level'!$G$5:$Z$32,MATCH($A13&amp;"|Power",'Stats by level'!$A$5:$A$32,0),20),0))</f>
        <v/>
      </c>
    </row>
    <row r="14" customFormat="false" ht="26.25" hidden="false" customHeight="true" outlineLevel="0" collapsed="false">
      <c r="A14" s="3" t="s">
        <v>57</v>
      </c>
      <c r="B14" s="3" t="s">
        <v>267</v>
      </c>
      <c r="C14" s="3" t="s">
        <v>296</v>
      </c>
      <c r="D14" s="14" t="s">
        <v>297</v>
      </c>
      <c r="E14" s="14" t="s">
        <v>242</v>
      </c>
      <c r="F14" s="14" t="s">
        <v>298</v>
      </c>
      <c r="G14" s="14" t="s">
        <v>134</v>
      </c>
      <c r="H14" s="3"/>
      <c r="I14" s="3"/>
      <c r="J14" s="5" t="n">
        <v>110</v>
      </c>
      <c r="K14" s="3"/>
      <c r="L14" s="6" t="str">
        <f aca="false">IF(I14="","",ROUND(H14+I14*INDEX('Stats by level'!$G$5:$Z$32,MATCH($A14&amp;"|Power",'Stats by level'!$A$5:$A$32,0),20),0))</f>
        <v/>
      </c>
    </row>
    <row r="15" customFormat="false" ht="15" hidden="false" customHeight="true" outlineLevel="0" collapsed="false">
      <c r="A15" s="3" t="s">
        <v>57</v>
      </c>
      <c r="B15" s="3" t="s">
        <v>267</v>
      </c>
      <c r="C15" s="3" t="s">
        <v>299</v>
      </c>
      <c r="D15" s="14" t="s">
        <v>300</v>
      </c>
      <c r="E15" s="14" t="s">
        <v>301</v>
      </c>
      <c r="F15" s="14" t="s">
        <v>302</v>
      </c>
      <c r="G15" s="14" t="s">
        <v>303</v>
      </c>
      <c r="H15" s="5" t="n">
        <v>60</v>
      </c>
      <c r="I15" s="5" t="n">
        <v>0.6</v>
      </c>
      <c r="J15" s="5" t="n">
        <v>90</v>
      </c>
      <c r="K15" s="3"/>
      <c r="L15" s="6" t="n">
        <f aca="false">IF(I15="","",ROUND(H15+I15*INDEX('Stats by level'!$G$5:$Z$32,MATCH($A15&amp;"|Power",'Stats by level'!$A$5:$A$32,0),20),0))</f>
        <v>204</v>
      </c>
    </row>
    <row r="16" customFormat="false" ht="15" hidden="false" customHeight="true" outlineLevel="0" collapsed="false">
      <c r="A16" s="3" t="s">
        <v>62</v>
      </c>
      <c r="B16" s="3" t="s">
        <v>250</v>
      </c>
      <c r="C16" s="3" t="s">
        <v>304</v>
      </c>
      <c r="D16" s="14" t="s">
        <v>305</v>
      </c>
      <c r="E16" s="14" t="s">
        <v>290</v>
      </c>
      <c r="F16" s="14" t="s">
        <v>306</v>
      </c>
      <c r="G16" s="14" t="s">
        <v>307</v>
      </c>
      <c r="H16" s="5" t="n">
        <v>40</v>
      </c>
      <c r="I16" s="5" t="n">
        <v>0.4</v>
      </c>
      <c r="J16" s="5" t="n">
        <v>100</v>
      </c>
      <c r="K16" s="3"/>
      <c r="L16" s="6" t="n">
        <f aca="false">IF(I16="","",ROUND(H16+I16*INDEX('Stats by level'!$G$5:$Z$32,MATCH($A16&amp;"|Power",'Stats by level'!$A$5:$A$32,0),20),0))</f>
        <v>100</v>
      </c>
    </row>
    <row r="17" customFormat="false" ht="26.25" hidden="false" customHeight="true" outlineLevel="0" collapsed="false">
      <c r="A17" s="3" t="s">
        <v>62</v>
      </c>
      <c r="B17" s="3" t="s">
        <v>250</v>
      </c>
      <c r="C17" s="3" t="s">
        <v>308</v>
      </c>
      <c r="D17" s="14" t="s">
        <v>309</v>
      </c>
      <c r="E17" s="14" t="s">
        <v>282</v>
      </c>
      <c r="F17" s="14" t="s">
        <v>310</v>
      </c>
      <c r="G17" s="14" t="s">
        <v>311</v>
      </c>
      <c r="H17" s="5" t="n">
        <v>150</v>
      </c>
      <c r="I17" s="5" t="n">
        <v>1.5</v>
      </c>
      <c r="J17" s="5" t="n">
        <v>120</v>
      </c>
      <c r="K17" s="3"/>
      <c r="L17" s="6" t="n">
        <f aca="false">IF(I17="","",ROUND(H17+I17*INDEX('Stats by level'!$G$5:$Z$32,MATCH($A17&amp;"|Power",'Stats by level'!$A$5:$A$32,0),20),0))</f>
        <v>375</v>
      </c>
    </row>
    <row r="18" customFormat="false" ht="26.25" hidden="false" customHeight="true" outlineLevel="0" collapsed="false">
      <c r="A18" s="3" t="s">
        <v>62</v>
      </c>
      <c r="B18" s="3" t="s">
        <v>250</v>
      </c>
      <c r="C18" s="3" t="s">
        <v>312</v>
      </c>
      <c r="D18" s="14" t="s">
        <v>313</v>
      </c>
      <c r="E18" s="14" t="s">
        <v>314</v>
      </c>
      <c r="F18" s="14" t="s">
        <v>315</v>
      </c>
      <c r="G18" s="14" t="s">
        <v>134</v>
      </c>
      <c r="H18" s="3"/>
      <c r="I18" s="3"/>
      <c r="J18" s="5" t="n">
        <v>100</v>
      </c>
      <c r="K18" s="3"/>
      <c r="L18" s="6" t="str">
        <f aca="false">IF(I18="","",ROUND(H18+I18*INDEX('Stats by level'!$G$5:$Z$32,MATCH($A18&amp;"|Power",'Stats by level'!$A$5:$A$32,0),20),0))</f>
        <v/>
      </c>
    </row>
    <row r="19" customFormat="false" ht="26.25" hidden="false" customHeight="true" outlineLevel="0" collapsed="false">
      <c r="A19" s="3" t="s">
        <v>62</v>
      </c>
      <c r="B19" s="3" t="s">
        <v>267</v>
      </c>
      <c r="C19" s="3" t="s">
        <v>316</v>
      </c>
      <c r="D19" s="14" t="s">
        <v>317</v>
      </c>
      <c r="E19" s="14" t="s">
        <v>204</v>
      </c>
      <c r="F19" s="14" t="s">
        <v>318</v>
      </c>
      <c r="G19" s="14" t="s">
        <v>134</v>
      </c>
      <c r="H19" s="3"/>
      <c r="I19" s="3"/>
      <c r="J19" s="5" t="n">
        <v>140</v>
      </c>
      <c r="K19" s="3"/>
      <c r="L19" s="6" t="str">
        <f aca="false">IF(I19="","",ROUND(H19+I19*INDEX('Stats by level'!$G$5:$Z$32,MATCH($A19&amp;"|Power",'Stats by level'!$A$5:$A$32,0),20),0))</f>
        <v/>
      </c>
    </row>
    <row r="20" customFormat="false" ht="26.25" hidden="false" customHeight="true" outlineLevel="0" collapsed="false">
      <c r="A20" s="3" t="s">
        <v>62</v>
      </c>
      <c r="B20" s="3" t="s">
        <v>267</v>
      </c>
      <c r="C20" s="3" t="s">
        <v>319</v>
      </c>
      <c r="D20" s="14" t="s">
        <v>320</v>
      </c>
      <c r="E20" s="14" t="s">
        <v>321</v>
      </c>
      <c r="F20" s="14" t="s">
        <v>322</v>
      </c>
      <c r="G20" s="14" t="s">
        <v>323</v>
      </c>
      <c r="H20" s="5" t="n">
        <v>1500</v>
      </c>
      <c r="I20" s="5" t="n">
        <v>5</v>
      </c>
      <c r="J20" s="5" t="n">
        <v>120</v>
      </c>
      <c r="K20" s="3"/>
      <c r="L20" s="6" t="n">
        <f aca="false">IF(I20="","",ROUND(H20+I20*INDEX('Stats by level'!$G$5:$Z$32,MATCH($A20&amp;"|Power",'Stats by level'!$A$5:$A$32,0),20),0))</f>
        <v>2250</v>
      </c>
    </row>
    <row r="21" customFormat="false" ht="15" hidden="false" customHeight="true" outlineLevel="0" collapsed="false">
      <c r="A21" s="3" t="s">
        <v>62</v>
      </c>
      <c r="B21" s="3" t="s">
        <v>267</v>
      </c>
      <c r="C21" s="3" t="s">
        <v>324</v>
      </c>
      <c r="D21" s="14" t="s">
        <v>325</v>
      </c>
      <c r="E21" s="14" t="s">
        <v>314</v>
      </c>
      <c r="F21" s="14" t="s">
        <v>326</v>
      </c>
      <c r="G21" s="14" t="s">
        <v>134</v>
      </c>
      <c r="H21" s="3"/>
      <c r="I21" s="3"/>
      <c r="J21" s="5" t="n">
        <v>110</v>
      </c>
      <c r="K21" s="3"/>
      <c r="L21" s="6" t="str">
        <f aca="false">IF(I21="","",ROUND(H21+I21*INDEX('Stats by level'!$G$5:$Z$32,MATCH($A21&amp;"|Power",'Stats by level'!$A$5:$A$32,0),20),0))</f>
        <v/>
      </c>
    </row>
    <row r="22" customFormat="false" ht="26.25" hidden="false" customHeight="true" outlineLevel="0" collapsed="false">
      <c r="A22" s="3" t="s">
        <v>67</v>
      </c>
      <c r="B22" s="3" t="s">
        <v>250</v>
      </c>
      <c r="C22" s="3" t="s">
        <v>327</v>
      </c>
      <c r="D22" s="14" t="s">
        <v>328</v>
      </c>
      <c r="E22" s="14" t="s">
        <v>329</v>
      </c>
      <c r="F22" s="14" t="s">
        <v>330</v>
      </c>
      <c r="G22" s="14" t="s">
        <v>331</v>
      </c>
      <c r="H22" s="5" t="n">
        <v>200</v>
      </c>
      <c r="I22" s="5" t="n">
        <v>2</v>
      </c>
      <c r="J22" s="5" t="n">
        <v>100</v>
      </c>
      <c r="K22" s="3"/>
      <c r="L22" s="6" t="n">
        <f aca="false">IF(I22="","",ROUND(H22+I22*INDEX('Stats by level'!$G$5:$Z$32,MATCH($A22&amp;"|Power",'Stats by level'!$A$5:$A$32,0),20),0))</f>
        <v>620</v>
      </c>
    </row>
    <row r="23" customFormat="false" ht="15" hidden="false" customHeight="true" outlineLevel="0" collapsed="false">
      <c r="A23" s="3" t="s">
        <v>67</v>
      </c>
      <c r="B23" s="3" t="s">
        <v>250</v>
      </c>
      <c r="C23" s="3" t="s">
        <v>332</v>
      </c>
      <c r="D23" s="14" t="s">
        <v>333</v>
      </c>
      <c r="E23" s="14" t="s">
        <v>204</v>
      </c>
      <c r="F23" s="14" t="s">
        <v>334</v>
      </c>
      <c r="G23" s="14" t="s">
        <v>134</v>
      </c>
      <c r="H23" s="3"/>
      <c r="I23" s="3"/>
      <c r="J23" s="5" t="n">
        <v>120</v>
      </c>
      <c r="K23" s="3"/>
      <c r="L23" s="6" t="str">
        <f aca="false">IF(I23="","",ROUND(H23+I23*INDEX('Stats by level'!$G$5:$Z$32,MATCH($A23&amp;"|Power",'Stats by level'!$A$5:$A$32,0),20),0))</f>
        <v/>
      </c>
    </row>
    <row r="24" customFormat="false" ht="26.25" hidden="false" customHeight="true" outlineLevel="0" collapsed="false">
      <c r="A24" s="3" t="s">
        <v>67</v>
      </c>
      <c r="B24" s="3" t="s">
        <v>250</v>
      </c>
      <c r="C24" s="3" t="s">
        <v>335</v>
      </c>
      <c r="D24" s="14" t="s">
        <v>336</v>
      </c>
      <c r="E24" s="14" t="s">
        <v>134</v>
      </c>
      <c r="F24" s="14" t="s">
        <v>337</v>
      </c>
      <c r="G24" s="14" t="s">
        <v>338</v>
      </c>
      <c r="H24" s="3"/>
      <c r="I24" s="3"/>
      <c r="J24" s="5" t="n">
        <v>90</v>
      </c>
      <c r="K24" s="3"/>
      <c r="L24" s="6" t="str">
        <f aca="false">IF(I24="","",ROUND(H24+I24*INDEX('Stats by level'!$G$5:$Z$32,MATCH($A24&amp;"|Power",'Stats by level'!$A$5:$A$32,0),20),0))</f>
        <v/>
      </c>
    </row>
    <row r="25" customFormat="false" ht="15" hidden="false" customHeight="true" outlineLevel="0" collapsed="false">
      <c r="A25" s="3" t="s">
        <v>67</v>
      </c>
      <c r="B25" s="3" t="s">
        <v>267</v>
      </c>
      <c r="C25" s="3" t="s">
        <v>339</v>
      </c>
      <c r="D25" s="14" t="s">
        <v>340</v>
      </c>
      <c r="E25" s="14" t="s">
        <v>341</v>
      </c>
      <c r="F25" s="14" t="s">
        <v>342</v>
      </c>
      <c r="G25" s="14" t="s">
        <v>343</v>
      </c>
      <c r="H25" s="5" t="n">
        <v>80</v>
      </c>
      <c r="I25" s="5" t="n">
        <v>0.8</v>
      </c>
      <c r="J25" s="5" t="n">
        <v>110</v>
      </c>
      <c r="K25" s="3"/>
      <c r="L25" s="6" t="n">
        <f aca="false">IF(I25="","",ROUND(H25+I25*INDEX('Stats by level'!$G$5:$Z$32,MATCH($A25&amp;"|Power",'Stats by level'!$A$5:$A$32,0),20),0))</f>
        <v>248</v>
      </c>
    </row>
    <row r="26" customFormat="false" ht="26.25" hidden="false" customHeight="true" outlineLevel="0" collapsed="false">
      <c r="A26" s="3" t="s">
        <v>67</v>
      </c>
      <c r="B26" s="3" t="s">
        <v>267</v>
      </c>
      <c r="C26" s="3" t="s">
        <v>344</v>
      </c>
      <c r="D26" s="14" t="s">
        <v>345</v>
      </c>
      <c r="E26" s="14" t="s">
        <v>346</v>
      </c>
      <c r="F26" s="14" t="s">
        <v>347</v>
      </c>
      <c r="G26" s="14" t="s">
        <v>134</v>
      </c>
      <c r="H26" s="3"/>
      <c r="I26" s="3"/>
      <c r="J26" s="5" t="n">
        <v>120</v>
      </c>
      <c r="K26" s="3"/>
      <c r="L26" s="6" t="str">
        <f aca="false">IF(I26="","",ROUND(H26+I26*INDEX('Stats by level'!$G$5:$Z$32,MATCH($A26&amp;"|Power",'Stats by level'!$A$5:$A$32,0),20),0))</f>
        <v/>
      </c>
    </row>
    <row r="27" customFormat="false" ht="15" hidden="false" customHeight="true" outlineLevel="0" collapsed="false">
      <c r="A27" s="3" t="s">
        <v>67</v>
      </c>
      <c r="B27" s="3" t="s">
        <v>267</v>
      </c>
      <c r="C27" s="3" t="s">
        <v>348</v>
      </c>
      <c r="D27" s="14" t="s">
        <v>349</v>
      </c>
      <c r="E27" s="14" t="s">
        <v>350</v>
      </c>
      <c r="F27" s="14" t="s">
        <v>351</v>
      </c>
      <c r="G27" s="14" t="s">
        <v>134</v>
      </c>
      <c r="H27" s="3"/>
      <c r="I27" s="3"/>
      <c r="J27" s="5" t="n">
        <v>150</v>
      </c>
      <c r="K27" s="3" t="s">
        <v>266</v>
      </c>
      <c r="L27" s="6" t="str">
        <f aca="false">IF(I27="","",ROUND(H27+I27*INDEX('Stats by level'!$G$5:$Z$32,MATCH($A27&amp;"|Power",'Stats by level'!$A$5:$A$32,0),20),0))</f>
        <v/>
      </c>
    </row>
    <row r="28" customFormat="false" ht="26.25" hidden="false" customHeight="true" outlineLevel="0" collapsed="false">
      <c r="A28" s="3" t="s">
        <v>72</v>
      </c>
      <c r="B28" s="3" t="s">
        <v>250</v>
      </c>
      <c r="C28" s="3" t="s">
        <v>352</v>
      </c>
      <c r="D28" s="14" t="s">
        <v>353</v>
      </c>
      <c r="E28" s="14" t="s">
        <v>314</v>
      </c>
      <c r="F28" s="14" t="s">
        <v>354</v>
      </c>
      <c r="G28" s="14" t="s">
        <v>134</v>
      </c>
      <c r="H28" s="3"/>
      <c r="I28" s="3"/>
      <c r="J28" s="5" t="n">
        <v>100</v>
      </c>
      <c r="K28" s="3"/>
      <c r="L28" s="6" t="str">
        <f aca="false">IF(I28="","",ROUND(H28+I28*INDEX('Stats by level'!$G$5:$Z$32,MATCH($A28&amp;"|Power",'Stats by level'!$A$5:$A$32,0),20),0))</f>
        <v/>
      </c>
    </row>
    <row r="29" customFormat="false" ht="15" hidden="false" customHeight="true" outlineLevel="0" collapsed="false">
      <c r="A29" s="3" t="s">
        <v>72</v>
      </c>
      <c r="B29" s="3" t="s">
        <v>250</v>
      </c>
      <c r="C29" s="3" t="s">
        <v>355</v>
      </c>
      <c r="D29" s="14" t="s">
        <v>151</v>
      </c>
      <c r="E29" s="14" t="s">
        <v>199</v>
      </c>
      <c r="F29" s="14" t="s">
        <v>356</v>
      </c>
      <c r="G29" s="14" t="s">
        <v>357</v>
      </c>
      <c r="H29" s="5" t="n">
        <v>120</v>
      </c>
      <c r="I29" s="5" t="n">
        <v>1</v>
      </c>
      <c r="J29" s="5" t="n">
        <v>90</v>
      </c>
      <c r="K29" s="3"/>
      <c r="L29" s="6" t="n">
        <f aca="false">IF(I29="","",ROUND(H29+I29*INDEX('Stats by level'!$G$5:$Z$32,MATCH($A29&amp;"|Power",'Stats by level'!$A$5:$A$32,0),20),0))</f>
        <v>350</v>
      </c>
    </row>
    <row r="30" customFormat="false" ht="15" hidden="false" customHeight="true" outlineLevel="0" collapsed="false">
      <c r="A30" s="3" t="s">
        <v>72</v>
      </c>
      <c r="B30" s="3" t="s">
        <v>250</v>
      </c>
      <c r="C30" s="3" t="s">
        <v>358</v>
      </c>
      <c r="D30" s="14" t="s">
        <v>281</v>
      </c>
      <c r="E30" s="14" t="s">
        <v>282</v>
      </c>
      <c r="F30" s="14" t="s">
        <v>359</v>
      </c>
      <c r="G30" s="14" t="s">
        <v>134</v>
      </c>
      <c r="H30" s="3"/>
      <c r="I30" s="3"/>
      <c r="J30" s="5" t="n">
        <v>110</v>
      </c>
      <c r="K30" s="3"/>
      <c r="L30" s="6" t="str">
        <f aca="false">IF(I30="","",ROUND(H30+I30*INDEX('Stats by level'!$G$5:$Z$32,MATCH($A30&amp;"|Power",'Stats by level'!$A$5:$A$32,0),20),0))</f>
        <v/>
      </c>
    </row>
    <row r="31" customFormat="false" ht="26.25" hidden="false" customHeight="true" outlineLevel="0" collapsed="false">
      <c r="A31" s="3" t="s">
        <v>72</v>
      </c>
      <c r="B31" s="3" t="s">
        <v>267</v>
      </c>
      <c r="C31" s="3" t="s">
        <v>360</v>
      </c>
      <c r="D31" s="14" t="s">
        <v>361</v>
      </c>
      <c r="E31" s="14" t="s">
        <v>282</v>
      </c>
      <c r="F31" s="14" t="s">
        <v>362</v>
      </c>
      <c r="G31" s="14" t="s">
        <v>134</v>
      </c>
      <c r="H31" s="3"/>
      <c r="I31" s="3"/>
      <c r="J31" s="5" t="n">
        <v>100</v>
      </c>
      <c r="K31" s="3"/>
      <c r="L31" s="6" t="str">
        <f aca="false">IF(I31="","",ROUND(H31+I31*INDEX('Stats by level'!$G$5:$Z$32,MATCH($A31&amp;"|Power",'Stats by level'!$A$5:$A$32,0),20),0))</f>
        <v/>
      </c>
    </row>
    <row r="32" customFormat="false" ht="15" hidden="false" customHeight="true" outlineLevel="0" collapsed="false">
      <c r="A32" s="3" t="s">
        <v>72</v>
      </c>
      <c r="B32" s="3" t="s">
        <v>267</v>
      </c>
      <c r="C32" s="3" t="s">
        <v>363</v>
      </c>
      <c r="D32" s="14" t="s">
        <v>364</v>
      </c>
      <c r="E32" s="14" t="s">
        <v>365</v>
      </c>
      <c r="F32" s="14" t="s">
        <v>366</v>
      </c>
      <c r="G32" s="14" t="s">
        <v>367</v>
      </c>
      <c r="H32" s="5" t="n">
        <v>40</v>
      </c>
      <c r="I32" s="5" t="n">
        <v>0.4</v>
      </c>
      <c r="J32" s="5" t="n">
        <v>110</v>
      </c>
      <c r="K32" s="3"/>
      <c r="L32" s="6" t="n">
        <f aca="false">IF(I32="","",ROUND(H32+I32*INDEX('Stats by level'!$G$5:$Z$32,MATCH($A32&amp;"|Power",'Stats by level'!$A$5:$A$32,0),20),0))</f>
        <v>132</v>
      </c>
    </row>
    <row r="33" customFormat="false" ht="15" hidden="false" customHeight="true" outlineLevel="0" collapsed="false">
      <c r="A33" s="3" t="s">
        <v>72</v>
      </c>
      <c r="B33" s="3" t="s">
        <v>267</v>
      </c>
      <c r="C33" s="3" t="s">
        <v>368</v>
      </c>
      <c r="D33" s="14" t="s">
        <v>369</v>
      </c>
      <c r="E33" s="14" t="s">
        <v>370</v>
      </c>
      <c r="F33" s="14" t="s">
        <v>371</v>
      </c>
      <c r="G33" s="14" t="s">
        <v>134</v>
      </c>
      <c r="H33" s="3"/>
      <c r="I33" s="3"/>
      <c r="J33" s="5" t="n">
        <v>120</v>
      </c>
      <c r="K33" s="3"/>
      <c r="L33" s="6" t="str">
        <f aca="false">IF(I33="","",ROUND(H33+I33*INDEX('Stats by level'!$G$5:$Z$32,MATCH($A33&amp;"|Power",'Stats by level'!$A$5:$A$32,0),20),0))</f>
        <v/>
      </c>
    </row>
    <row r="34" customFormat="false" ht="15" hidden="false" customHeight="true" outlineLevel="0" collapsed="false">
      <c r="A34" s="3" t="s">
        <v>77</v>
      </c>
      <c r="B34" s="3" t="s">
        <v>250</v>
      </c>
      <c r="C34" s="3" t="s">
        <v>372</v>
      </c>
      <c r="D34" s="14" t="s">
        <v>373</v>
      </c>
      <c r="E34" s="14" t="s">
        <v>374</v>
      </c>
      <c r="F34" s="14" t="s">
        <v>375</v>
      </c>
      <c r="G34" s="14" t="s">
        <v>376</v>
      </c>
      <c r="H34" s="5" t="n">
        <v>70</v>
      </c>
      <c r="I34" s="5" t="n">
        <v>0.9</v>
      </c>
      <c r="J34" s="5" t="n">
        <v>100</v>
      </c>
      <c r="K34" s="3"/>
      <c r="L34" s="6" t="n">
        <f aca="false">IF(I34="","",ROUND(H34+I34*INDEX('Stats by level'!$G$5:$Z$32,MATCH($A34&amp;"|Power",'Stats by level'!$A$5:$A$32,0),20),0))</f>
        <v>304</v>
      </c>
    </row>
    <row r="35" customFormat="false" ht="26.25" hidden="false" customHeight="true" outlineLevel="0" collapsed="false">
      <c r="A35" s="3" t="s">
        <v>77</v>
      </c>
      <c r="B35" s="3" t="s">
        <v>250</v>
      </c>
      <c r="C35" s="3" t="s">
        <v>377</v>
      </c>
      <c r="D35" s="14" t="s">
        <v>378</v>
      </c>
      <c r="E35" s="14" t="s">
        <v>379</v>
      </c>
      <c r="F35" s="14" t="s">
        <v>380</v>
      </c>
      <c r="G35" s="14" t="s">
        <v>381</v>
      </c>
      <c r="H35" s="5" t="n">
        <v>150</v>
      </c>
      <c r="I35" s="5" t="n">
        <v>1.5</v>
      </c>
      <c r="J35" s="5" t="n">
        <v>110</v>
      </c>
      <c r="K35" s="3"/>
      <c r="L35" s="6" t="n">
        <f aca="false">IF(I35="","",ROUND(H35+I35*INDEX('Stats by level'!$G$5:$Z$32,MATCH($A35&amp;"|Power",'Stats by level'!$A$5:$A$32,0),20),0))</f>
        <v>540</v>
      </c>
    </row>
    <row r="36" customFormat="false" ht="15" hidden="false" customHeight="true" outlineLevel="0" collapsed="false">
      <c r="A36" s="3" t="s">
        <v>77</v>
      </c>
      <c r="B36" s="3" t="s">
        <v>250</v>
      </c>
      <c r="C36" s="3" t="s">
        <v>382</v>
      </c>
      <c r="D36" s="14" t="s">
        <v>281</v>
      </c>
      <c r="E36" s="14" t="s">
        <v>282</v>
      </c>
      <c r="F36" s="14" t="s">
        <v>383</v>
      </c>
      <c r="G36" s="14" t="s">
        <v>384</v>
      </c>
      <c r="H36" s="3"/>
      <c r="I36" s="3"/>
      <c r="J36" s="5" t="n">
        <v>110</v>
      </c>
      <c r="K36" s="3"/>
      <c r="L36" s="6" t="str">
        <f aca="false">IF(I36="","",ROUND(H36+I36*INDEX('Stats by level'!$G$5:$Z$32,MATCH($A36&amp;"|Power",'Stats by level'!$A$5:$A$32,0),20),0))</f>
        <v/>
      </c>
    </row>
    <row r="37" customFormat="false" ht="39" hidden="false" customHeight="true" outlineLevel="0" collapsed="false">
      <c r="A37" s="3" t="s">
        <v>77</v>
      </c>
      <c r="B37" s="3" t="s">
        <v>267</v>
      </c>
      <c r="C37" s="3" t="s">
        <v>385</v>
      </c>
      <c r="D37" s="14" t="s">
        <v>386</v>
      </c>
      <c r="E37" s="14" t="s">
        <v>387</v>
      </c>
      <c r="F37" s="14" t="s">
        <v>388</v>
      </c>
      <c r="G37" s="14" t="s">
        <v>389</v>
      </c>
      <c r="H37" s="5" t="n">
        <v>100</v>
      </c>
      <c r="I37" s="5" t="n">
        <v>1</v>
      </c>
      <c r="J37" s="5" t="n">
        <v>120</v>
      </c>
      <c r="K37" s="3"/>
      <c r="L37" s="6" t="n">
        <f aca="false">IF(I37="","",ROUND(H37+I37*INDEX('Stats by level'!$G$5:$Z$32,MATCH($A37&amp;"|Power",'Stats by level'!$A$5:$A$32,0),20),0))</f>
        <v>360</v>
      </c>
    </row>
    <row r="38" customFormat="false" ht="15" hidden="false" customHeight="true" outlineLevel="0" collapsed="false">
      <c r="A38" s="3" t="s">
        <v>77</v>
      </c>
      <c r="B38" s="3" t="s">
        <v>267</v>
      </c>
      <c r="C38" s="3" t="s">
        <v>390</v>
      </c>
      <c r="D38" s="14" t="s">
        <v>391</v>
      </c>
      <c r="E38" s="14" t="s">
        <v>392</v>
      </c>
      <c r="F38" s="14" t="s">
        <v>393</v>
      </c>
      <c r="G38" s="14" t="s">
        <v>394</v>
      </c>
      <c r="H38" s="3"/>
      <c r="I38" s="3"/>
      <c r="J38" s="5" t="n">
        <v>120</v>
      </c>
      <c r="K38" s="3"/>
      <c r="L38" s="6" t="str">
        <f aca="false">IF(I38="","",ROUND(H38+I38*INDEX('Stats by level'!$G$5:$Z$32,MATCH($A38&amp;"|Power",'Stats by level'!$A$5:$A$32,0),20),0))</f>
        <v/>
      </c>
    </row>
    <row r="39" customFormat="false" ht="26.25" hidden="false" customHeight="true" outlineLevel="0" collapsed="false">
      <c r="A39" s="3" t="s">
        <v>77</v>
      </c>
      <c r="B39" s="3" t="s">
        <v>267</v>
      </c>
      <c r="C39" s="3" t="s">
        <v>395</v>
      </c>
      <c r="D39" s="14" t="s">
        <v>396</v>
      </c>
      <c r="E39" s="14" t="s">
        <v>397</v>
      </c>
      <c r="F39" s="14" t="s">
        <v>398</v>
      </c>
      <c r="G39" s="14" t="s">
        <v>134</v>
      </c>
      <c r="H39" s="3"/>
      <c r="I39" s="3"/>
      <c r="J39" s="5" t="n">
        <v>110</v>
      </c>
      <c r="K39" s="3"/>
      <c r="L39" s="6" t="str">
        <f aca="false">IF(I39="","",ROUND(H39+I39*INDEX('Stats by level'!$G$5:$Z$32,MATCH($A39&amp;"|Power",'Stats by level'!$A$5:$A$32,0),20),0))</f>
        <v/>
      </c>
    </row>
    <row r="40" customFormat="false" ht="26.25" hidden="false" customHeight="true" outlineLevel="0" collapsed="false">
      <c r="A40" s="3" t="s">
        <v>82</v>
      </c>
      <c r="B40" s="3" t="s">
        <v>250</v>
      </c>
      <c r="C40" s="3" t="s">
        <v>399</v>
      </c>
      <c r="D40" s="14" t="s">
        <v>400</v>
      </c>
      <c r="E40" s="14" t="s">
        <v>401</v>
      </c>
      <c r="F40" s="14" t="s">
        <v>402</v>
      </c>
      <c r="G40" s="14" t="s">
        <v>403</v>
      </c>
      <c r="H40" s="5" t="n">
        <v>150</v>
      </c>
      <c r="I40" s="5" t="n">
        <v>1.5</v>
      </c>
      <c r="J40" s="5" t="n">
        <v>100</v>
      </c>
      <c r="K40" s="3"/>
      <c r="L40" s="6" t="n">
        <f aca="false">IF(I40="","",ROUND(H40+I40*INDEX('Stats by level'!$G$5:$Z$32,MATCH($A40&amp;"|Power",'Stats by level'!$A$5:$A$32,0),20),0))</f>
        <v>375</v>
      </c>
    </row>
    <row r="41" customFormat="false" ht="26.25" hidden="false" customHeight="true" outlineLevel="0" collapsed="false">
      <c r="A41" s="3" t="s">
        <v>82</v>
      </c>
      <c r="B41" s="3" t="s">
        <v>250</v>
      </c>
      <c r="C41" s="3" t="s">
        <v>404</v>
      </c>
      <c r="D41" s="14" t="s">
        <v>405</v>
      </c>
      <c r="E41" s="14" t="s">
        <v>282</v>
      </c>
      <c r="F41" s="14" t="s">
        <v>406</v>
      </c>
      <c r="G41" s="14" t="s">
        <v>134</v>
      </c>
      <c r="H41" s="3"/>
      <c r="I41" s="3"/>
      <c r="J41" s="5" t="n">
        <v>110</v>
      </c>
      <c r="K41" s="3"/>
      <c r="L41" s="6" t="str">
        <f aca="false">IF(I41="","",ROUND(H41+I41*INDEX('Stats by level'!$G$5:$Z$32,MATCH($A41&amp;"|Power",'Stats by level'!$A$5:$A$32,0),20),0))</f>
        <v/>
      </c>
    </row>
    <row r="42" customFormat="false" ht="26.25" hidden="false" customHeight="true" outlineLevel="0" collapsed="false">
      <c r="A42" s="3" t="s">
        <v>82</v>
      </c>
      <c r="B42" s="3" t="s">
        <v>250</v>
      </c>
      <c r="C42" s="3" t="s">
        <v>407</v>
      </c>
      <c r="D42" s="14" t="s">
        <v>408</v>
      </c>
      <c r="E42" s="14" t="s">
        <v>409</v>
      </c>
      <c r="F42" s="14" t="s">
        <v>410</v>
      </c>
      <c r="G42" s="14" t="s">
        <v>411</v>
      </c>
      <c r="H42" s="5" t="n">
        <v>300</v>
      </c>
      <c r="I42" s="5" t="n">
        <v>2.5</v>
      </c>
      <c r="J42" s="5" t="n">
        <v>100</v>
      </c>
      <c r="K42" s="3"/>
      <c r="L42" s="6" t="n">
        <f aca="false">IF(I42="","",ROUND(H42+I42*INDEX('Stats by level'!$G$5:$Z$32,MATCH($A42&amp;"|Power",'Stats by level'!$A$5:$A$32,0),20),0))</f>
        <v>675</v>
      </c>
    </row>
    <row r="43" customFormat="false" ht="15" hidden="false" customHeight="true" outlineLevel="0" collapsed="false">
      <c r="A43" s="3" t="s">
        <v>82</v>
      </c>
      <c r="B43" s="3" t="s">
        <v>267</v>
      </c>
      <c r="C43" s="3" t="s">
        <v>412</v>
      </c>
      <c r="D43" s="14" t="s">
        <v>413</v>
      </c>
      <c r="E43" s="14" t="s">
        <v>290</v>
      </c>
      <c r="F43" s="14" t="s">
        <v>414</v>
      </c>
      <c r="G43" s="14" t="s">
        <v>134</v>
      </c>
      <c r="H43" s="3"/>
      <c r="I43" s="3"/>
      <c r="J43" s="5" t="n">
        <v>130</v>
      </c>
      <c r="K43" s="3"/>
      <c r="L43" s="6" t="str">
        <f aca="false">IF(I43="","",ROUND(H43+I43*INDEX('Stats by level'!$G$5:$Z$32,MATCH($A43&amp;"|Power",'Stats by level'!$A$5:$A$32,0),20),0))</f>
        <v/>
      </c>
    </row>
    <row r="44" customFormat="false" ht="26.25" hidden="false" customHeight="true" outlineLevel="0" collapsed="false">
      <c r="A44" s="3" t="s">
        <v>82</v>
      </c>
      <c r="B44" s="3" t="s">
        <v>267</v>
      </c>
      <c r="C44" s="3" t="s">
        <v>415</v>
      </c>
      <c r="D44" s="14" t="s">
        <v>416</v>
      </c>
      <c r="E44" s="14" t="s">
        <v>417</v>
      </c>
      <c r="F44" s="14" t="s">
        <v>418</v>
      </c>
      <c r="G44" s="14" t="s">
        <v>419</v>
      </c>
      <c r="H44" s="5" t="n">
        <v>1200</v>
      </c>
      <c r="I44" s="5" t="n">
        <v>5</v>
      </c>
      <c r="J44" s="5" t="n">
        <v>110</v>
      </c>
      <c r="K44" s="3"/>
      <c r="L44" s="6" t="n">
        <f aca="false">IF(I44="","",ROUND(H44+I44*INDEX('Stats by level'!$G$5:$Z$32,MATCH($A44&amp;"|Power",'Stats by level'!$A$5:$A$32,0),20),0))</f>
        <v>1950</v>
      </c>
    </row>
    <row r="45" customFormat="false" ht="15" hidden="false" customHeight="true" outlineLevel="0" collapsed="false">
      <c r="A45" s="3" t="s">
        <v>82</v>
      </c>
      <c r="B45" s="3" t="s">
        <v>267</v>
      </c>
      <c r="C45" s="3" t="s">
        <v>420</v>
      </c>
      <c r="D45" s="14" t="s">
        <v>313</v>
      </c>
      <c r="E45" s="14" t="s">
        <v>421</v>
      </c>
      <c r="F45" s="14" t="s">
        <v>422</v>
      </c>
      <c r="G45" s="14" t="s">
        <v>423</v>
      </c>
      <c r="H45" s="3"/>
      <c r="I45" s="3"/>
      <c r="J45" s="5" t="n">
        <v>150</v>
      </c>
      <c r="K45" s="3"/>
      <c r="L45" s="6" t="str">
        <f aca="false">IF(I45="","",ROUND(H45+I45*INDEX('Stats by level'!$G$5:$Z$32,MATCH($A45&amp;"|Power",'Stats by level'!$A$5:$A$32,0),20),0))</f>
        <v/>
      </c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15" hidden="false" customHeight="true" outlineLevel="0" collapsed="false">
      <c r="A47" s="4" t="s">
        <v>424</v>
      </c>
      <c r="B47" s="8"/>
      <c r="C47" s="3" t="n">
        <f aca="false">COUNTA(C4:C45)</f>
        <v>42</v>
      </c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" hidden="false" customHeight="true" outlineLevel="0" collapsed="false">
      <c r="A48" s="4" t="s">
        <v>425</v>
      </c>
      <c r="B48" s="8"/>
      <c r="C48" s="3" t="n">
        <f aca="false">ROUND(AVERAGE(J4:J45),1)</f>
        <v>110.7</v>
      </c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true" outlineLevel="0" collapsed="false">
      <c r="A49" s="3" t="s">
        <v>426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60"/>
    <col collapsed="false" customWidth="true" hidden="false" outlineLevel="0" max="8" min="6" style="1" width="10"/>
  </cols>
  <sheetData>
    <row r="1" customFormat="false" ht="17.25" hidden="false" customHeight="true" outlineLevel="0" collapsed="false">
      <c r="A1" s="2" t="s">
        <v>427</v>
      </c>
      <c r="B1" s="8"/>
      <c r="C1" s="8"/>
      <c r="D1" s="8"/>
      <c r="E1" s="8"/>
      <c r="F1" s="8"/>
      <c r="G1" s="8"/>
      <c r="H1" s="8"/>
    </row>
    <row r="2" customFormat="false" ht="15" hidden="false" customHeight="true" outlineLevel="0" collapsed="false">
      <c r="A2" s="8"/>
      <c r="B2" s="8"/>
      <c r="C2" s="8"/>
      <c r="D2" s="8"/>
      <c r="E2" s="8"/>
      <c r="F2" s="8"/>
      <c r="G2" s="8"/>
      <c r="H2" s="8"/>
    </row>
    <row r="3" customFormat="false" ht="26.25" hidden="false" customHeight="true" outlineLevel="0" collapsed="false">
      <c r="A3" s="9" t="s">
        <v>428</v>
      </c>
      <c r="B3" s="9" t="s">
        <v>429</v>
      </c>
      <c r="C3" s="9" t="s">
        <v>430</v>
      </c>
      <c r="D3" s="9" t="s">
        <v>431</v>
      </c>
      <c r="E3" s="9" t="s">
        <v>111</v>
      </c>
      <c r="F3" s="9" t="s">
        <v>432</v>
      </c>
      <c r="G3" s="9" t="s">
        <v>433</v>
      </c>
      <c r="H3" s="9" t="s">
        <v>434</v>
      </c>
    </row>
    <row r="4" customFormat="false" ht="26.25" hidden="false" customHeight="true" outlineLevel="0" collapsed="false">
      <c r="A4" s="14" t="s">
        <v>435</v>
      </c>
      <c r="B4" s="14" t="s">
        <v>436</v>
      </c>
      <c r="C4" s="15" t="n">
        <v>12</v>
      </c>
      <c r="D4" s="14" t="s">
        <v>437</v>
      </c>
      <c r="E4" s="14" t="s">
        <v>438</v>
      </c>
      <c r="F4" s="15" t="n">
        <v>15</v>
      </c>
      <c r="G4" s="15" t="n">
        <v>12</v>
      </c>
      <c r="H4" s="15" t="n">
        <v>9</v>
      </c>
    </row>
    <row r="5" customFormat="false" ht="26.25" hidden="false" customHeight="true" outlineLevel="0" collapsed="false">
      <c r="A5" s="14" t="s">
        <v>439</v>
      </c>
      <c r="B5" s="14" t="s">
        <v>440</v>
      </c>
      <c r="C5" s="15" t="n">
        <v>15</v>
      </c>
      <c r="D5" s="14" t="s">
        <v>441</v>
      </c>
      <c r="E5" s="14" t="s">
        <v>442</v>
      </c>
      <c r="F5" s="15" t="n">
        <v>15</v>
      </c>
      <c r="G5" s="15" t="n">
        <v>12</v>
      </c>
      <c r="H5" s="15" t="n">
        <v>9</v>
      </c>
    </row>
    <row r="6" customFormat="false" ht="26.25" hidden="false" customHeight="true" outlineLevel="0" collapsed="false">
      <c r="A6" s="14" t="s">
        <v>443</v>
      </c>
      <c r="B6" s="14" t="s">
        <v>444</v>
      </c>
      <c r="C6" s="15" t="n">
        <v>18</v>
      </c>
      <c r="D6" s="14" t="s">
        <v>445</v>
      </c>
      <c r="E6" s="14" t="s">
        <v>446</v>
      </c>
      <c r="F6" s="15" t="n">
        <v>15</v>
      </c>
      <c r="G6" s="15" t="n">
        <v>12</v>
      </c>
      <c r="H6" s="15" t="n">
        <v>9</v>
      </c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4" t="s">
        <v>447</v>
      </c>
      <c r="B9" s="8"/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448</v>
      </c>
      <c r="B10" s="16" t="s">
        <v>449</v>
      </c>
      <c r="C10" s="16" t="s">
        <v>450</v>
      </c>
      <c r="D10" s="16" t="s">
        <v>451</v>
      </c>
      <c r="E10" s="8"/>
      <c r="F10" s="8"/>
      <c r="G10" s="8"/>
      <c r="H10" s="8"/>
    </row>
    <row r="11" customFormat="false" ht="15" hidden="false" customHeight="true" outlineLevel="0" collapsed="false">
      <c r="A11" s="3" t="s">
        <v>452</v>
      </c>
      <c r="B11" s="3" t="n">
        <f aca="false">F4</f>
        <v>15</v>
      </c>
      <c r="C11" s="3" t="n">
        <f aca="false">G4</f>
        <v>12</v>
      </c>
      <c r="D11" s="3" t="n">
        <f aca="false">H4</f>
        <v>9</v>
      </c>
      <c r="E11" s="8"/>
      <c r="F11" s="8"/>
      <c r="G11" s="8"/>
      <c r="H11" s="8"/>
    </row>
    <row r="12" customFormat="false" ht="15" hidden="false" customHeight="true" outlineLevel="0" collapsed="false">
      <c r="A12" s="3" t="s">
        <v>453</v>
      </c>
      <c r="B12" s="3" t="n">
        <f aca="false">F4</f>
        <v>15</v>
      </c>
      <c r="C12" s="3" t="n">
        <f aca="false">G4</f>
        <v>12</v>
      </c>
      <c r="D12" s="3" t="n">
        <f aca="false">H4</f>
        <v>9</v>
      </c>
      <c r="E12" s="8"/>
      <c r="F12" s="8"/>
      <c r="G12" s="8"/>
      <c r="H12" s="8"/>
    </row>
    <row r="13" customFormat="false" ht="15" hidden="false" customHeight="true" outlineLevel="0" collapsed="false">
      <c r="A13" s="3" t="s">
        <v>454</v>
      </c>
      <c r="B13" s="3" t="s">
        <v>455</v>
      </c>
      <c r="C13" s="5" t="n">
        <v>31</v>
      </c>
      <c r="D13" s="5" t="n">
        <v>20</v>
      </c>
      <c r="E13" s="8"/>
      <c r="F13" s="8"/>
      <c r="G13" s="8"/>
      <c r="H13" s="8"/>
    </row>
    <row r="14" customFormat="false" ht="15" hidden="false" customHeight="true" outlineLevel="0" collapsed="false">
      <c r="A14" s="3" t="s">
        <v>456</v>
      </c>
      <c r="B14" s="3" t="s">
        <v>455</v>
      </c>
      <c r="C14" s="3" t="s">
        <v>455</v>
      </c>
      <c r="D14" s="5" t="n">
        <v>9</v>
      </c>
      <c r="E14" s="8"/>
      <c r="F14" s="8"/>
      <c r="G14" s="8"/>
      <c r="H14" s="8"/>
    </row>
    <row r="15" customFormat="false" ht="15" hidden="false" customHeight="tru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3" t="s">
        <v>457</v>
      </c>
      <c r="B16" s="8"/>
      <c r="C16" s="8"/>
      <c r="D16" s="8"/>
      <c r="E16" s="13" t="n">
        <v>0.1</v>
      </c>
      <c r="F16" s="8"/>
      <c r="G16" s="8"/>
      <c r="H16" s="8"/>
    </row>
    <row r="17" customFormat="false" ht="15" hidden="false" customHeight="true" outlineLevel="0" collapsed="false">
      <c r="A17" s="3" t="s">
        <v>458</v>
      </c>
      <c r="B17" s="8"/>
      <c r="C17" s="8"/>
      <c r="D17" s="8"/>
      <c r="E17" s="3" t="n">
        <f aca="false">D13*(1-E16)</f>
        <v>18</v>
      </c>
      <c r="F17" s="8"/>
      <c r="G17" s="8"/>
      <c r="H1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6" min="6" style="1" width="22"/>
    <col collapsed="false" customWidth="true" hidden="false" outlineLevel="0" max="7" min="7" style="1" width="9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8"/>
    <col collapsed="false" customWidth="true" hidden="false" outlineLevel="0" max="11" min="11" style="1" width="6"/>
    <col collapsed="false" customWidth="true" hidden="false" outlineLevel="0" max="12" min="12" style="1" width="60"/>
    <col collapsed="false" customWidth="true" hidden="false" outlineLevel="0" max="16" min="13" style="1" width="10"/>
  </cols>
  <sheetData>
    <row r="1" customFormat="false" ht="17.25" hidden="false" customHeight="true" outlineLevel="0" collapsed="false">
      <c r="A1" s="2" t="s">
        <v>459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4" t="s">
        <v>460</v>
      </c>
      <c r="B2" s="8"/>
      <c r="C2" s="4" t="s">
        <v>461</v>
      </c>
      <c r="D2" s="10" t="n">
        <v>1</v>
      </c>
      <c r="E2" s="4" t="s">
        <v>462</v>
      </c>
      <c r="F2" s="10" t="n">
        <v>1.15</v>
      </c>
      <c r="G2" s="4" t="s">
        <v>463</v>
      </c>
      <c r="H2" s="10" t="n">
        <v>1.3</v>
      </c>
      <c r="I2" s="4" t="s">
        <v>464</v>
      </c>
      <c r="J2" s="10" t="n">
        <v>1.45</v>
      </c>
      <c r="K2" s="4" t="s">
        <v>465</v>
      </c>
      <c r="L2" s="10" t="n">
        <v>1.25</v>
      </c>
      <c r="M2" s="8"/>
      <c r="N2" s="8"/>
      <c r="O2" s="8"/>
      <c r="P2" s="8"/>
    </row>
    <row r="3" customFormat="false" ht="26.25" hidden="false" customHeight="true" outlineLevel="0" collapsed="false">
      <c r="A3" s="9" t="s">
        <v>466</v>
      </c>
      <c r="B3" s="9" t="s">
        <v>467</v>
      </c>
      <c r="C3" s="9" t="s">
        <v>468</v>
      </c>
      <c r="D3" s="9" t="s">
        <v>469</v>
      </c>
      <c r="E3" s="9" t="s">
        <v>470</v>
      </c>
      <c r="F3" s="9" t="s">
        <v>471</v>
      </c>
      <c r="G3" s="9" t="s">
        <v>472</v>
      </c>
      <c r="H3" s="9" t="s">
        <v>473</v>
      </c>
      <c r="I3" s="9" t="s">
        <v>474</v>
      </c>
      <c r="J3" s="9" t="s">
        <v>475</v>
      </c>
      <c r="K3" s="9" t="s">
        <v>476</v>
      </c>
      <c r="L3" s="9" t="s">
        <v>477</v>
      </c>
      <c r="M3" s="9" t="s">
        <v>478</v>
      </c>
      <c r="N3" s="9" t="s">
        <v>479</v>
      </c>
      <c r="O3" s="9" t="s">
        <v>480</v>
      </c>
      <c r="P3" s="9" t="s">
        <v>481</v>
      </c>
    </row>
    <row r="4" customFormat="false" ht="26.25" hidden="false" customHeight="true" outlineLevel="0" collapsed="false">
      <c r="A4" s="3" t="n">
        <v>1</v>
      </c>
      <c r="B4" s="3" t="s">
        <v>482</v>
      </c>
      <c r="C4" s="3" t="s">
        <v>483</v>
      </c>
      <c r="D4" s="3" t="s">
        <v>484</v>
      </c>
      <c r="E4" s="5" t="n">
        <v>900</v>
      </c>
      <c r="F4" s="14" t="s">
        <v>485</v>
      </c>
      <c r="G4" s="5" t="n">
        <v>3.5</v>
      </c>
      <c r="H4" s="14" t="s">
        <v>486</v>
      </c>
      <c r="I4" s="14" t="s">
        <v>487</v>
      </c>
      <c r="J4" s="5" t="n">
        <v>45</v>
      </c>
      <c r="K4" s="5" t="n">
        <v>0</v>
      </c>
      <c r="L4" s="14" t="s">
        <v>488</v>
      </c>
      <c r="M4" s="3" t="n">
        <f aca="false">IF(ISNUMBER(E4),ROUND(E4*$F$2,0),"—")</f>
        <v>1035</v>
      </c>
      <c r="N4" s="3" t="n">
        <f aca="false">IF(ISNUMBER(E4),ROUND(E4*$H$2,0),"—")</f>
        <v>1170</v>
      </c>
      <c r="O4" s="3" t="n">
        <f aca="false">IF(ISNUMBER(E4),ROUND(E4*$J$2,0),"—")</f>
        <v>1305</v>
      </c>
      <c r="P4" s="3" t="n">
        <f aca="false">ROUND(J4*$L$2,0)</f>
        <v>56</v>
      </c>
    </row>
    <row r="5" customFormat="false" ht="15" hidden="false" customHeight="true" outlineLevel="0" collapsed="false">
      <c r="A5" s="3" t="n">
        <v>2</v>
      </c>
      <c r="B5" s="3" t="s">
        <v>489</v>
      </c>
      <c r="C5" s="3" t="s">
        <v>483</v>
      </c>
      <c r="D5" s="3" t="s">
        <v>484</v>
      </c>
      <c r="E5" s="5" t="n">
        <v>700</v>
      </c>
      <c r="F5" s="14" t="s">
        <v>490</v>
      </c>
      <c r="G5" s="5" t="n">
        <v>7</v>
      </c>
      <c r="H5" s="14" t="s">
        <v>491</v>
      </c>
      <c r="I5" s="14" t="s">
        <v>492</v>
      </c>
      <c r="J5" s="5" t="n">
        <v>50</v>
      </c>
      <c r="K5" s="5" t="n">
        <v>0</v>
      </c>
      <c r="L5" s="14" t="s">
        <v>493</v>
      </c>
      <c r="M5" s="3" t="n">
        <f aca="false">IF(ISNUMBER(E5),ROUND(E5*$F$2,0),"—")</f>
        <v>805</v>
      </c>
      <c r="N5" s="3" t="n">
        <f aca="false">IF(ISNUMBER(E5),ROUND(E5*$H$2,0),"—")</f>
        <v>910</v>
      </c>
      <c r="O5" s="3" t="n">
        <f aca="false">IF(ISNUMBER(E5),ROUND(E5*$J$2,0),"—")</f>
        <v>1015</v>
      </c>
      <c r="P5" s="3" t="n">
        <f aca="false">ROUND(J5*$L$2,0)</f>
        <v>63</v>
      </c>
    </row>
    <row r="6" customFormat="false" ht="26.25" hidden="false" customHeight="true" outlineLevel="0" collapsed="false">
      <c r="A6" s="3" t="n">
        <v>3</v>
      </c>
      <c r="B6" s="3" t="s">
        <v>494</v>
      </c>
      <c r="C6" s="3" t="s">
        <v>483</v>
      </c>
      <c r="D6" s="3" t="s">
        <v>495</v>
      </c>
      <c r="E6" s="5" t="n">
        <v>3500</v>
      </c>
      <c r="F6" s="14" t="s">
        <v>496</v>
      </c>
      <c r="G6" s="5" t="n">
        <v>4</v>
      </c>
      <c r="H6" s="14" t="s">
        <v>497</v>
      </c>
      <c r="I6" s="14" t="s">
        <v>498</v>
      </c>
      <c r="J6" s="5" t="n">
        <v>160</v>
      </c>
      <c r="K6" s="5" t="n">
        <v>20</v>
      </c>
      <c r="L6" s="14" t="s">
        <v>499</v>
      </c>
      <c r="M6" s="3" t="n">
        <f aca="false">IF(ISNUMBER(E6),ROUND(E6*$F$2,0),"—")</f>
        <v>4025</v>
      </c>
      <c r="N6" s="3" t="n">
        <f aca="false">IF(ISNUMBER(E6),ROUND(E6*$H$2,0),"—")</f>
        <v>4550</v>
      </c>
      <c r="O6" s="3" t="n">
        <f aca="false">IF(ISNUMBER(E6),ROUND(E6*$J$2,0),"—")</f>
        <v>5075</v>
      </c>
      <c r="P6" s="3" t="n">
        <f aca="false">ROUND(J6*$L$2,0)</f>
        <v>200</v>
      </c>
    </row>
    <row r="7" customFormat="false" ht="26.25" hidden="false" customHeight="true" outlineLevel="0" collapsed="false">
      <c r="A7" s="3" t="n">
        <v>4</v>
      </c>
      <c r="B7" s="3" t="s">
        <v>500</v>
      </c>
      <c r="C7" s="3" t="s">
        <v>483</v>
      </c>
      <c r="D7" s="3" t="s">
        <v>501</v>
      </c>
      <c r="E7" s="5" t="n">
        <v>150</v>
      </c>
      <c r="F7" s="14" t="s">
        <v>134</v>
      </c>
      <c r="G7" s="5" t="n">
        <v>8</v>
      </c>
      <c r="H7" s="14" t="s">
        <v>497</v>
      </c>
      <c r="I7" s="14" t="s">
        <v>502</v>
      </c>
      <c r="J7" s="5" t="n">
        <v>20</v>
      </c>
      <c r="K7" s="5" t="n">
        <v>0</v>
      </c>
      <c r="L7" s="14" t="s">
        <v>503</v>
      </c>
      <c r="M7" s="3" t="n">
        <f aca="false">IF(ISNUMBER(E7),ROUND(E7*$F$2,0),"—")</f>
        <v>173</v>
      </c>
      <c r="N7" s="3" t="n">
        <f aca="false">IF(ISNUMBER(E7),ROUND(E7*$H$2,0),"—")</f>
        <v>195</v>
      </c>
      <c r="O7" s="3" t="n">
        <f aca="false">IF(ISNUMBER(E7),ROUND(E7*$J$2,0),"—")</f>
        <v>218</v>
      </c>
      <c r="P7" s="3" t="n">
        <f aca="false">ROUND(J7*$L$2,0)</f>
        <v>25</v>
      </c>
    </row>
    <row r="8" customFormat="false" ht="15" hidden="false" customHeight="true" outlineLevel="0" collapsed="false">
      <c r="A8" s="3" t="n">
        <v>5</v>
      </c>
      <c r="B8" s="3" t="s">
        <v>504</v>
      </c>
      <c r="C8" s="3" t="s">
        <v>483</v>
      </c>
      <c r="D8" s="3" t="s">
        <v>484</v>
      </c>
      <c r="E8" s="5" t="n">
        <v>800</v>
      </c>
      <c r="F8" s="14" t="s">
        <v>505</v>
      </c>
      <c r="G8" s="5" t="n">
        <v>6.5</v>
      </c>
      <c r="H8" s="14" t="s">
        <v>429</v>
      </c>
      <c r="I8" s="14" t="s">
        <v>492</v>
      </c>
      <c r="J8" s="5" t="n">
        <v>50</v>
      </c>
      <c r="K8" s="5" t="n">
        <v>0</v>
      </c>
      <c r="L8" s="14" t="s">
        <v>506</v>
      </c>
      <c r="M8" s="3" t="n">
        <f aca="false">IF(ISNUMBER(E8),ROUND(E8*$F$2,0),"—")</f>
        <v>920</v>
      </c>
      <c r="N8" s="3" t="n">
        <f aca="false">IF(ISNUMBER(E8),ROUND(E8*$H$2,0),"—")</f>
        <v>1040</v>
      </c>
      <c r="O8" s="3" t="n">
        <f aca="false">IF(ISNUMBER(E8),ROUND(E8*$J$2,0),"—")</f>
        <v>1160</v>
      </c>
      <c r="P8" s="3" t="n">
        <f aca="false">ROUND(J8*$L$2,0)</f>
        <v>63</v>
      </c>
    </row>
    <row r="9" customFormat="false" ht="39" hidden="false" customHeight="true" outlineLevel="0" collapsed="false">
      <c r="A9" s="3" t="n">
        <v>6</v>
      </c>
      <c r="B9" s="3" t="s">
        <v>507</v>
      </c>
      <c r="C9" s="3" t="s">
        <v>483</v>
      </c>
      <c r="D9" s="3" t="s">
        <v>495</v>
      </c>
      <c r="E9" s="5" t="n">
        <v>2600</v>
      </c>
      <c r="F9" s="14" t="s">
        <v>508</v>
      </c>
      <c r="G9" s="5" t="n">
        <v>5.5</v>
      </c>
      <c r="H9" s="14" t="s">
        <v>497</v>
      </c>
      <c r="I9" s="14" t="s">
        <v>509</v>
      </c>
      <c r="J9" s="5" t="n">
        <v>150</v>
      </c>
      <c r="K9" s="5" t="n">
        <v>20</v>
      </c>
      <c r="L9" s="14" t="s">
        <v>510</v>
      </c>
      <c r="M9" s="3" t="n">
        <f aca="false">IF(ISNUMBER(E9),ROUND(E9*$F$2,0),"—")</f>
        <v>2990</v>
      </c>
      <c r="N9" s="3" t="n">
        <f aca="false">IF(ISNUMBER(E9),ROUND(E9*$H$2,0),"—")</f>
        <v>3380</v>
      </c>
      <c r="O9" s="3" t="n">
        <f aca="false">IF(ISNUMBER(E9),ROUND(E9*$J$2,0),"—")</f>
        <v>3770</v>
      </c>
      <c r="P9" s="3" t="n">
        <f aca="false">ROUND(J9*$L$2,0)</f>
        <v>188</v>
      </c>
    </row>
    <row r="10" customFormat="false" ht="26.25" hidden="false" customHeight="true" outlineLevel="0" collapsed="false">
      <c r="A10" s="3" t="n">
        <v>7</v>
      </c>
      <c r="B10" s="3" t="s">
        <v>511</v>
      </c>
      <c r="C10" s="3" t="s">
        <v>483</v>
      </c>
      <c r="D10" s="3" t="s">
        <v>484</v>
      </c>
      <c r="E10" s="5" t="n">
        <v>1000</v>
      </c>
      <c r="F10" s="14" t="s">
        <v>512</v>
      </c>
      <c r="G10" s="5" t="n">
        <v>5</v>
      </c>
      <c r="H10" s="14" t="s">
        <v>497</v>
      </c>
      <c r="I10" s="14" t="s">
        <v>513</v>
      </c>
      <c r="J10" s="5" t="n">
        <v>50</v>
      </c>
      <c r="K10" s="5" t="n">
        <v>0</v>
      </c>
      <c r="L10" s="14" t="s">
        <v>514</v>
      </c>
      <c r="M10" s="3" t="n">
        <f aca="false">IF(ISNUMBER(E10),ROUND(E10*$F$2,0),"—")</f>
        <v>1150</v>
      </c>
      <c r="N10" s="3" t="n">
        <f aca="false">IF(ISNUMBER(E10),ROUND(E10*$H$2,0),"—")</f>
        <v>1300</v>
      </c>
      <c r="O10" s="3" t="n">
        <f aca="false">IF(ISNUMBER(E10),ROUND(E10*$J$2,0),"—")</f>
        <v>1450</v>
      </c>
      <c r="P10" s="3" t="n">
        <f aca="false">ROUND(J10*$L$2,0)</f>
        <v>63</v>
      </c>
    </row>
    <row r="11" customFormat="false" ht="26.25" hidden="false" customHeight="true" outlineLevel="0" collapsed="false">
      <c r="A11" s="3" t="n">
        <v>8</v>
      </c>
      <c r="B11" s="3" t="s">
        <v>515</v>
      </c>
      <c r="C11" s="3" t="s">
        <v>483</v>
      </c>
      <c r="D11" s="3" t="s">
        <v>516</v>
      </c>
      <c r="E11" s="5" t="n">
        <v>30000</v>
      </c>
      <c r="F11" s="14" t="s">
        <v>517</v>
      </c>
      <c r="G11" s="5" t="n">
        <v>2.5</v>
      </c>
      <c r="H11" s="14" t="s">
        <v>497</v>
      </c>
      <c r="I11" s="14" t="s">
        <v>518</v>
      </c>
      <c r="J11" s="5" t="n">
        <v>400</v>
      </c>
      <c r="K11" s="5" t="n">
        <v>100</v>
      </c>
      <c r="L11" s="14" t="s">
        <v>519</v>
      </c>
      <c r="M11" s="3" t="n">
        <f aca="false">IF(ISNUMBER(E11),ROUND(E11*$F$2,0),"—")</f>
        <v>34500</v>
      </c>
      <c r="N11" s="3" t="n">
        <f aca="false">IF(ISNUMBER(E11),ROUND(E11*$H$2,0),"—")</f>
        <v>39000</v>
      </c>
      <c r="O11" s="3" t="n">
        <f aca="false">IF(ISNUMBER(E11),ROUND(E11*$J$2,0),"—")</f>
        <v>43500</v>
      </c>
      <c r="P11" s="3" t="n">
        <f aca="false">ROUND(J11*$L$2,0)</f>
        <v>500</v>
      </c>
    </row>
    <row r="12" customFormat="false" ht="26.25" hidden="false" customHeight="true" outlineLevel="0" collapsed="false">
      <c r="A12" s="3" t="n">
        <v>45</v>
      </c>
      <c r="B12" s="3" t="s">
        <v>520</v>
      </c>
      <c r="C12" s="3" t="s">
        <v>483</v>
      </c>
      <c r="D12" s="3" t="s">
        <v>501</v>
      </c>
      <c r="E12" s="5" t="n">
        <v>200</v>
      </c>
      <c r="F12" s="14" t="s">
        <v>134</v>
      </c>
      <c r="G12" s="5" t="n">
        <v>3.5</v>
      </c>
      <c r="H12" s="14" t="s">
        <v>521</v>
      </c>
      <c r="I12" s="14" t="s">
        <v>522</v>
      </c>
      <c r="J12" s="5" t="n">
        <v>15</v>
      </c>
      <c r="K12" s="5" t="n">
        <v>0</v>
      </c>
      <c r="L12" s="14" t="s">
        <v>523</v>
      </c>
      <c r="M12" s="3" t="n">
        <f aca="false">IF(ISNUMBER(E12),ROUND(E12*$F$2,0),"—")</f>
        <v>230</v>
      </c>
      <c r="N12" s="3" t="n">
        <f aca="false">IF(ISNUMBER(E12),ROUND(E12*$H$2,0),"—")</f>
        <v>260</v>
      </c>
      <c r="O12" s="3" t="n">
        <f aca="false">IF(ISNUMBER(E12),ROUND(E12*$J$2,0),"—")</f>
        <v>290</v>
      </c>
      <c r="P12" s="3" t="n">
        <f aca="false">ROUND(J12*$L$2,0)</f>
        <v>19</v>
      </c>
    </row>
    <row r="13" customFormat="false" ht="26.25" hidden="false" customHeight="true" outlineLevel="0" collapsed="false">
      <c r="A13" s="3" t="n">
        <v>49</v>
      </c>
      <c r="B13" s="3" t="s">
        <v>524</v>
      </c>
      <c r="C13" s="3" t="s">
        <v>483</v>
      </c>
      <c r="D13" s="3" t="s">
        <v>484</v>
      </c>
      <c r="E13" s="5" t="n">
        <v>600</v>
      </c>
      <c r="F13" s="14" t="s">
        <v>134</v>
      </c>
      <c r="G13" s="5" t="n">
        <v>5</v>
      </c>
      <c r="H13" s="14" t="s">
        <v>525</v>
      </c>
      <c r="I13" s="14" t="s">
        <v>505</v>
      </c>
      <c r="J13" s="5" t="n">
        <v>45</v>
      </c>
      <c r="K13" s="5" t="n">
        <v>0</v>
      </c>
      <c r="L13" s="14" t="s">
        <v>526</v>
      </c>
      <c r="M13" s="3" t="n">
        <f aca="false">IF(ISNUMBER(E13),ROUND(E13*$F$2,0),"—")</f>
        <v>690</v>
      </c>
      <c r="N13" s="3" t="n">
        <f aca="false">IF(ISNUMBER(E13),ROUND(E13*$H$2,0),"—")</f>
        <v>780</v>
      </c>
      <c r="O13" s="3" t="n">
        <f aca="false">IF(ISNUMBER(E13),ROUND(E13*$J$2,0),"—")</f>
        <v>870</v>
      </c>
      <c r="P13" s="3" t="n">
        <f aca="false">ROUND(J13*$L$2,0)</f>
        <v>56</v>
      </c>
    </row>
    <row r="14" customFormat="false" ht="26.25" hidden="false" customHeight="true" outlineLevel="0" collapsed="false">
      <c r="A14" s="3" t="n">
        <v>53</v>
      </c>
      <c r="B14" s="3" t="s">
        <v>527</v>
      </c>
      <c r="C14" s="3" t="s">
        <v>483</v>
      </c>
      <c r="D14" s="3" t="s">
        <v>516</v>
      </c>
      <c r="E14" s="3" t="s">
        <v>528</v>
      </c>
      <c r="F14" s="14" t="s">
        <v>134</v>
      </c>
      <c r="G14" s="5" t="n">
        <v>2</v>
      </c>
      <c r="H14" s="14" t="s">
        <v>529</v>
      </c>
      <c r="I14" s="14" t="s">
        <v>530</v>
      </c>
      <c r="J14" s="5" t="n">
        <v>0</v>
      </c>
      <c r="K14" s="5" t="n">
        <v>0</v>
      </c>
      <c r="L14" s="14" t="s">
        <v>531</v>
      </c>
      <c r="M14" s="3" t="str">
        <f aca="false">IF(ISNUMBER(E14),ROUND(E14*$F$2,0),"—")</f>
        <v>—</v>
      </c>
      <c r="N14" s="3" t="str">
        <f aca="false">IF(ISNUMBER(E14),ROUND(E14*$H$2,0),"—")</f>
        <v>—</v>
      </c>
      <c r="O14" s="3" t="str">
        <f aca="false">IF(ISNUMBER(E14),ROUND(E14*$J$2,0),"—")</f>
        <v>—</v>
      </c>
      <c r="P14" s="3" t="n">
        <f aca="false">ROUND(J14*$L$2,0)</f>
        <v>0</v>
      </c>
    </row>
    <row r="15" customFormat="false" ht="26.25" hidden="false" customHeight="true" outlineLevel="0" collapsed="false">
      <c r="A15" s="3" t="n">
        <v>9</v>
      </c>
      <c r="B15" s="3" t="s">
        <v>532</v>
      </c>
      <c r="C15" s="3" t="s">
        <v>533</v>
      </c>
      <c r="D15" s="3" t="s">
        <v>501</v>
      </c>
      <c r="E15" s="5" t="n">
        <v>200</v>
      </c>
      <c r="F15" s="14" t="s">
        <v>522</v>
      </c>
      <c r="G15" s="5" t="n">
        <v>5.5</v>
      </c>
      <c r="H15" s="14" t="s">
        <v>534</v>
      </c>
      <c r="I15" s="14" t="s">
        <v>535</v>
      </c>
      <c r="J15" s="5" t="n">
        <v>15</v>
      </c>
      <c r="K15" s="5" t="n">
        <v>0</v>
      </c>
      <c r="L15" s="14" t="s">
        <v>536</v>
      </c>
      <c r="M15" s="3" t="n">
        <f aca="false">IF(ISNUMBER(E15),ROUND(E15*$F$2,0),"—")</f>
        <v>230</v>
      </c>
      <c r="N15" s="3" t="n">
        <f aca="false">IF(ISNUMBER(E15),ROUND(E15*$H$2,0),"—")</f>
        <v>260</v>
      </c>
      <c r="O15" s="3" t="n">
        <f aca="false">IF(ISNUMBER(E15),ROUND(E15*$J$2,0),"—")</f>
        <v>290</v>
      </c>
      <c r="P15" s="3" t="n">
        <f aca="false">ROUND(J15*$L$2,0)</f>
        <v>19</v>
      </c>
    </row>
    <row r="16" customFormat="false" ht="26.25" hidden="false" customHeight="true" outlineLevel="0" collapsed="false">
      <c r="A16" s="3" t="n">
        <v>10</v>
      </c>
      <c r="B16" s="3" t="s">
        <v>537</v>
      </c>
      <c r="C16" s="3" t="s">
        <v>533</v>
      </c>
      <c r="D16" s="3" t="s">
        <v>501</v>
      </c>
      <c r="E16" s="5" t="n">
        <v>120</v>
      </c>
      <c r="F16" s="14" t="s">
        <v>134</v>
      </c>
      <c r="G16" s="5" t="n">
        <v>9</v>
      </c>
      <c r="H16" s="14" t="s">
        <v>538</v>
      </c>
      <c r="I16" s="14" t="s">
        <v>539</v>
      </c>
      <c r="J16" s="5" t="n">
        <v>10</v>
      </c>
      <c r="K16" s="5" t="n">
        <v>0</v>
      </c>
      <c r="L16" s="14" t="s">
        <v>540</v>
      </c>
      <c r="M16" s="3" t="n">
        <f aca="false">IF(ISNUMBER(E16),ROUND(E16*$F$2,0),"—")</f>
        <v>138</v>
      </c>
      <c r="N16" s="3" t="n">
        <f aca="false">IF(ISNUMBER(E16),ROUND(E16*$H$2,0),"—")</f>
        <v>156</v>
      </c>
      <c r="O16" s="3" t="n">
        <f aca="false">IF(ISNUMBER(E16),ROUND(E16*$J$2,0),"—")</f>
        <v>174</v>
      </c>
      <c r="P16" s="3" t="n">
        <f aca="false">ROUND(J16*$L$2,0)</f>
        <v>13</v>
      </c>
    </row>
    <row r="17" customFormat="false" ht="26.25" hidden="false" customHeight="true" outlineLevel="0" collapsed="false">
      <c r="A17" s="3" t="n">
        <v>11</v>
      </c>
      <c r="B17" s="3" t="s">
        <v>541</v>
      </c>
      <c r="C17" s="3" t="s">
        <v>533</v>
      </c>
      <c r="D17" s="3" t="s">
        <v>484</v>
      </c>
      <c r="E17" s="5" t="n">
        <v>1200</v>
      </c>
      <c r="F17" s="14" t="s">
        <v>542</v>
      </c>
      <c r="G17" s="5" t="n">
        <v>3</v>
      </c>
      <c r="H17" s="14" t="s">
        <v>543</v>
      </c>
      <c r="I17" s="14" t="s">
        <v>544</v>
      </c>
      <c r="J17" s="5" t="n">
        <v>60</v>
      </c>
      <c r="K17" s="5" t="n">
        <v>0</v>
      </c>
      <c r="L17" s="14" t="s">
        <v>545</v>
      </c>
      <c r="M17" s="3" t="n">
        <f aca="false">IF(ISNUMBER(E17),ROUND(E17*$F$2,0),"—")</f>
        <v>1380</v>
      </c>
      <c r="N17" s="3" t="n">
        <f aca="false">IF(ISNUMBER(E17),ROUND(E17*$H$2,0),"—")</f>
        <v>1560</v>
      </c>
      <c r="O17" s="3" t="n">
        <f aca="false">IF(ISNUMBER(E17),ROUND(E17*$J$2,0),"—")</f>
        <v>1740</v>
      </c>
      <c r="P17" s="3" t="n">
        <f aca="false">ROUND(J17*$L$2,0)</f>
        <v>75</v>
      </c>
    </row>
    <row r="18" customFormat="false" ht="26.25" hidden="false" customHeight="true" outlineLevel="0" collapsed="false">
      <c r="A18" s="3" t="n">
        <v>12</v>
      </c>
      <c r="B18" s="3" t="s">
        <v>546</v>
      </c>
      <c r="C18" s="3" t="s">
        <v>533</v>
      </c>
      <c r="D18" s="3" t="s">
        <v>495</v>
      </c>
      <c r="E18" s="5" t="n">
        <v>3000</v>
      </c>
      <c r="F18" s="14" t="s">
        <v>547</v>
      </c>
      <c r="G18" s="5" t="n">
        <v>5</v>
      </c>
      <c r="H18" s="14" t="s">
        <v>497</v>
      </c>
      <c r="I18" s="14" t="s">
        <v>548</v>
      </c>
      <c r="J18" s="5" t="n">
        <v>170</v>
      </c>
      <c r="K18" s="5" t="n">
        <v>20</v>
      </c>
      <c r="L18" s="14" t="s">
        <v>549</v>
      </c>
      <c r="M18" s="3" t="n">
        <f aca="false">IF(ISNUMBER(E18),ROUND(E18*$F$2,0),"—")</f>
        <v>3450</v>
      </c>
      <c r="N18" s="3" t="n">
        <f aca="false">IF(ISNUMBER(E18),ROUND(E18*$H$2,0),"—")</f>
        <v>3900</v>
      </c>
      <c r="O18" s="3" t="n">
        <f aca="false">IF(ISNUMBER(E18),ROUND(E18*$J$2,0),"—")</f>
        <v>4350</v>
      </c>
      <c r="P18" s="3" t="n">
        <f aca="false">ROUND(J18*$L$2,0)</f>
        <v>213</v>
      </c>
    </row>
    <row r="19" customFormat="false" ht="15" hidden="false" customHeight="true" outlineLevel="0" collapsed="false">
      <c r="A19" s="3" t="n">
        <v>13</v>
      </c>
      <c r="B19" s="3" t="s">
        <v>550</v>
      </c>
      <c r="C19" s="3" t="s">
        <v>533</v>
      </c>
      <c r="D19" s="3" t="s">
        <v>484</v>
      </c>
      <c r="E19" s="5" t="n">
        <v>900</v>
      </c>
      <c r="F19" s="14" t="s">
        <v>134</v>
      </c>
      <c r="G19" s="5" t="n">
        <v>3</v>
      </c>
      <c r="H19" s="14" t="s">
        <v>497</v>
      </c>
      <c r="I19" s="14" t="s">
        <v>512</v>
      </c>
      <c r="J19" s="5" t="n">
        <v>55</v>
      </c>
      <c r="K19" s="5" t="n">
        <v>0</v>
      </c>
      <c r="L19" s="14" t="s">
        <v>551</v>
      </c>
      <c r="M19" s="3" t="n">
        <f aca="false">IF(ISNUMBER(E19),ROUND(E19*$F$2,0),"—")</f>
        <v>1035</v>
      </c>
      <c r="N19" s="3" t="n">
        <f aca="false">IF(ISNUMBER(E19),ROUND(E19*$H$2,0),"—")</f>
        <v>1170</v>
      </c>
      <c r="O19" s="3" t="n">
        <f aca="false">IF(ISNUMBER(E19),ROUND(E19*$J$2,0),"—")</f>
        <v>1305</v>
      </c>
      <c r="P19" s="3" t="n">
        <f aca="false">ROUND(J19*$L$2,0)</f>
        <v>69</v>
      </c>
    </row>
    <row r="20" customFormat="false" ht="15" hidden="false" customHeight="true" outlineLevel="0" collapsed="false">
      <c r="A20" s="3" t="n">
        <v>14</v>
      </c>
      <c r="B20" s="3" t="s">
        <v>552</v>
      </c>
      <c r="C20" s="3" t="s">
        <v>533</v>
      </c>
      <c r="D20" s="3" t="s">
        <v>501</v>
      </c>
      <c r="E20" s="5" t="n">
        <v>160</v>
      </c>
      <c r="F20" s="14" t="s">
        <v>134</v>
      </c>
      <c r="G20" s="5" t="n">
        <v>10</v>
      </c>
      <c r="H20" s="14" t="s">
        <v>497</v>
      </c>
      <c r="I20" s="14" t="s">
        <v>553</v>
      </c>
      <c r="J20" s="5" t="n">
        <v>40</v>
      </c>
      <c r="K20" s="5" t="n">
        <v>0</v>
      </c>
      <c r="L20" s="14" t="s">
        <v>554</v>
      </c>
      <c r="M20" s="3" t="n">
        <f aca="false">IF(ISNUMBER(E20),ROUND(E20*$F$2,0),"—")</f>
        <v>184</v>
      </c>
      <c r="N20" s="3" t="n">
        <f aca="false">IF(ISNUMBER(E20),ROUND(E20*$H$2,0),"—")</f>
        <v>208</v>
      </c>
      <c r="O20" s="3" t="n">
        <f aca="false">IF(ISNUMBER(E20),ROUND(E20*$J$2,0),"—")</f>
        <v>232</v>
      </c>
      <c r="P20" s="3" t="n">
        <f aca="false">ROUND(J20*$L$2,0)</f>
        <v>50</v>
      </c>
    </row>
    <row r="21" customFormat="false" ht="39" hidden="false" customHeight="true" outlineLevel="0" collapsed="false">
      <c r="A21" s="3" t="n">
        <v>15</v>
      </c>
      <c r="B21" s="3" t="s">
        <v>555</v>
      </c>
      <c r="C21" s="3" t="s">
        <v>533</v>
      </c>
      <c r="D21" s="3" t="s">
        <v>495</v>
      </c>
      <c r="E21" s="5" t="n">
        <v>2400</v>
      </c>
      <c r="F21" s="14" t="s">
        <v>556</v>
      </c>
      <c r="G21" s="5" t="n">
        <v>3.5</v>
      </c>
      <c r="H21" s="14" t="s">
        <v>557</v>
      </c>
      <c r="I21" s="14" t="s">
        <v>509</v>
      </c>
      <c r="J21" s="5" t="n">
        <v>150</v>
      </c>
      <c r="K21" s="5" t="n">
        <v>20</v>
      </c>
      <c r="L21" s="14" t="s">
        <v>558</v>
      </c>
      <c r="M21" s="3" t="n">
        <f aca="false">IF(ISNUMBER(E21),ROUND(E21*$F$2,0),"—")</f>
        <v>2760</v>
      </c>
      <c r="N21" s="3" t="n">
        <f aca="false">IF(ISNUMBER(E21),ROUND(E21*$H$2,0),"—")</f>
        <v>3120</v>
      </c>
      <c r="O21" s="3" t="n">
        <f aca="false">IF(ISNUMBER(E21),ROUND(E21*$J$2,0),"—")</f>
        <v>3480</v>
      </c>
      <c r="P21" s="3" t="n">
        <f aca="false">ROUND(J21*$L$2,0)</f>
        <v>188</v>
      </c>
    </row>
    <row r="22" customFormat="false" ht="26.25" hidden="false" customHeight="true" outlineLevel="0" collapsed="false">
      <c r="A22" s="3" t="n">
        <v>16</v>
      </c>
      <c r="B22" s="3" t="s">
        <v>559</v>
      </c>
      <c r="C22" s="3" t="s">
        <v>533</v>
      </c>
      <c r="D22" s="3" t="s">
        <v>516</v>
      </c>
      <c r="E22" s="5" t="n">
        <v>25000</v>
      </c>
      <c r="F22" s="14" t="s">
        <v>560</v>
      </c>
      <c r="G22" s="5" t="n">
        <v>2</v>
      </c>
      <c r="H22" s="14" t="s">
        <v>497</v>
      </c>
      <c r="I22" s="14" t="s">
        <v>518</v>
      </c>
      <c r="J22" s="5" t="n">
        <v>400</v>
      </c>
      <c r="K22" s="5" t="n">
        <v>100</v>
      </c>
      <c r="L22" s="14" t="s">
        <v>561</v>
      </c>
      <c r="M22" s="3" t="n">
        <f aca="false">IF(ISNUMBER(E22),ROUND(E22*$F$2,0),"—")</f>
        <v>28750</v>
      </c>
      <c r="N22" s="3" t="n">
        <f aca="false">IF(ISNUMBER(E22),ROUND(E22*$H$2,0),"—")</f>
        <v>32500</v>
      </c>
      <c r="O22" s="3" t="n">
        <f aca="false">IF(ISNUMBER(E22),ROUND(E22*$J$2,0),"—")</f>
        <v>36250</v>
      </c>
      <c r="P22" s="3" t="n">
        <f aca="false">ROUND(J22*$L$2,0)</f>
        <v>500</v>
      </c>
    </row>
    <row r="23" customFormat="false" ht="15" hidden="false" customHeight="true" outlineLevel="0" collapsed="false">
      <c r="A23" s="3" t="n">
        <v>44</v>
      </c>
      <c r="B23" s="3" t="s">
        <v>562</v>
      </c>
      <c r="C23" s="3" t="s">
        <v>533</v>
      </c>
      <c r="D23" s="3" t="s">
        <v>484</v>
      </c>
      <c r="E23" s="5" t="n">
        <v>700</v>
      </c>
      <c r="F23" s="14" t="s">
        <v>134</v>
      </c>
      <c r="G23" s="5" t="n">
        <v>6</v>
      </c>
      <c r="H23" s="14" t="s">
        <v>497</v>
      </c>
      <c r="I23" s="14" t="s">
        <v>505</v>
      </c>
      <c r="J23" s="5" t="n">
        <v>45</v>
      </c>
      <c r="K23" s="5" t="n">
        <v>0</v>
      </c>
      <c r="L23" s="14" t="s">
        <v>563</v>
      </c>
      <c r="M23" s="3" t="n">
        <f aca="false">IF(ISNUMBER(E23),ROUND(E23*$F$2,0),"—")</f>
        <v>805</v>
      </c>
      <c r="N23" s="3" t="n">
        <f aca="false">IF(ISNUMBER(E23),ROUND(E23*$H$2,0),"—")</f>
        <v>910</v>
      </c>
      <c r="O23" s="3" t="n">
        <f aca="false">IF(ISNUMBER(E23),ROUND(E23*$J$2,0),"—")</f>
        <v>1015</v>
      </c>
      <c r="P23" s="3" t="n">
        <f aca="false">ROUND(J23*$L$2,0)</f>
        <v>56</v>
      </c>
    </row>
    <row r="24" customFormat="false" ht="26.25" hidden="false" customHeight="true" outlineLevel="0" collapsed="false">
      <c r="A24" s="3" t="n">
        <v>47</v>
      </c>
      <c r="B24" s="3" t="s">
        <v>564</v>
      </c>
      <c r="C24" s="3" t="s">
        <v>533</v>
      </c>
      <c r="D24" s="3" t="s">
        <v>495</v>
      </c>
      <c r="E24" s="5" t="n">
        <v>3400</v>
      </c>
      <c r="F24" s="14" t="s">
        <v>565</v>
      </c>
      <c r="G24" s="5" t="n">
        <v>5</v>
      </c>
      <c r="H24" s="14" t="s">
        <v>566</v>
      </c>
      <c r="I24" s="14" t="s">
        <v>548</v>
      </c>
      <c r="J24" s="5" t="n">
        <v>170</v>
      </c>
      <c r="K24" s="5" t="n">
        <v>20</v>
      </c>
      <c r="L24" s="14" t="s">
        <v>567</v>
      </c>
      <c r="M24" s="3" t="n">
        <f aca="false">IF(ISNUMBER(E24),ROUND(E24*$F$2,0),"—")</f>
        <v>3910</v>
      </c>
      <c r="N24" s="3" t="n">
        <f aca="false">IF(ISNUMBER(E24),ROUND(E24*$H$2,0),"—")</f>
        <v>4420</v>
      </c>
      <c r="O24" s="3" t="n">
        <f aca="false">IF(ISNUMBER(E24),ROUND(E24*$J$2,0),"—")</f>
        <v>4930</v>
      </c>
      <c r="P24" s="3" t="n">
        <f aca="false">ROUND(J24*$L$2,0)</f>
        <v>213</v>
      </c>
    </row>
    <row r="25" customFormat="false" ht="15" hidden="false" customHeight="true" outlineLevel="0" collapsed="false">
      <c r="A25" s="3" t="n">
        <v>50</v>
      </c>
      <c r="B25" s="3" t="s">
        <v>568</v>
      </c>
      <c r="C25" s="3" t="s">
        <v>533</v>
      </c>
      <c r="D25" s="3" t="s">
        <v>501</v>
      </c>
      <c r="E25" s="5" t="n">
        <v>150</v>
      </c>
      <c r="F25" s="14" t="s">
        <v>134</v>
      </c>
      <c r="G25" s="5" t="n">
        <v>8</v>
      </c>
      <c r="H25" s="14" t="s">
        <v>569</v>
      </c>
      <c r="I25" s="14" t="s">
        <v>522</v>
      </c>
      <c r="J25" s="5" t="n">
        <v>15</v>
      </c>
      <c r="K25" s="5" t="n">
        <v>0</v>
      </c>
      <c r="L25" s="14" t="s">
        <v>570</v>
      </c>
      <c r="M25" s="3" t="n">
        <f aca="false">IF(ISNUMBER(E25),ROUND(E25*$F$2,0),"—")</f>
        <v>173</v>
      </c>
      <c r="N25" s="3" t="n">
        <f aca="false">IF(ISNUMBER(E25),ROUND(E25*$H$2,0),"—")</f>
        <v>195</v>
      </c>
      <c r="O25" s="3" t="n">
        <f aca="false">IF(ISNUMBER(E25),ROUND(E25*$J$2,0),"—")</f>
        <v>218</v>
      </c>
      <c r="P25" s="3" t="n">
        <f aca="false">ROUND(J25*$L$2,0)</f>
        <v>19</v>
      </c>
    </row>
    <row r="26" customFormat="false" ht="26.25" hidden="false" customHeight="true" outlineLevel="0" collapsed="false">
      <c r="A26" s="3" t="n">
        <v>52</v>
      </c>
      <c r="B26" s="3" t="s">
        <v>571</v>
      </c>
      <c r="C26" s="3" t="s">
        <v>533</v>
      </c>
      <c r="D26" s="3" t="s">
        <v>501</v>
      </c>
      <c r="E26" s="5" t="n">
        <v>120</v>
      </c>
      <c r="F26" s="14" t="s">
        <v>572</v>
      </c>
      <c r="G26" s="5" t="n">
        <v>8</v>
      </c>
      <c r="H26" s="14" t="s">
        <v>573</v>
      </c>
      <c r="I26" s="14" t="s">
        <v>574</v>
      </c>
      <c r="J26" s="5" t="n">
        <v>15</v>
      </c>
      <c r="K26" s="5" t="n">
        <v>0</v>
      </c>
      <c r="L26" s="14" t="s">
        <v>575</v>
      </c>
      <c r="M26" s="3" t="n">
        <f aca="false">IF(ISNUMBER(E26),ROUND(E26*$F$2,0),"—")</f>
        <v>138</v>
      </c>
      <c r="N26" s="3" t="n">
        <f aca="false">IF(ISNUMBER(E26),ROUND(E26*$H$2,0),"—")</f>
        <v>156</v>
      </c>
      <c r="O26" s="3" t="n">
        <f aca="false">IF(ISNUMBER(E26),ROUND(E26*$J$2,0),"—")</f>
        <v>174</v>
      </c>
      <c r="P26" s="3" t="n">
        <f aca="false">ROUND(J26*$L$2,0)</f>
        <v>19</v>
      </c>
    </row>
    <row r="27" customFormat="false" ht="15" hidden="false" customHeight="true" outlineLevel="0" collapsed="false">
      <c r="A27" s="3" t="n">
        <v>17</v>
      </c>
      <c r="B27" s="3" t="s">
        <v>576</v>
      </c>
      <c r="C27" s="3" t="s">
        <v>577</v>
      </c>
      <c r="D27" s="3" t="s">
        <v>484</v>
      </c>
      <c r="E27" s="5" t="n">
        <v>1000</v>
      </c>
      <c r="F27" s="14" t="s">
        <v>578</v>
      </c>
      <c r="G27" s="5" t="n">
        <v>6</v>
      </c>
      <c r="H27" s="14" t="s">
        <v>579</v>
      </c>
      <c r="I27" s="14" t="s">
        <v>512</v>
      </c>
      <c r="J27" s="5" t="n">
        <v>55</v>
      </c>
      <c r="K27" s="5" t="n">
        <v>0</v>
      </c>
      <c r="L27" s="14" t="s">
        <v>580</v>
      </c>
      <c r="M27" s="3" t="n">
        <f aca="false">IF(ISNUMBER(E27),ROUND(E27*$F$2,0),"—")</f>
        <v>1150</v>
      </c>
      <c r="N27" s="3" t="n">
        <f aca="false">IF(ISNUMBER(E27),ROUND(E27*$H$2,0),"—")</f>
        <v>1300</v>
      </c>
      <c r="O27" s="3" t="n">
        <f aca="false">IF(ISNUMBER(E27),ROUND(E27*$J$2,0),"—")</f>
        <v>1450</v>
      </c>
      <c r="P27" s="3" t="n">
        <f aca="false">ROUND(J27*$L$2,0)</f>
        <v>69</v>
      </c>
    </row>
    <row r="28" customFormat="false" ht="39" hidden="false" customHeight="true" outlineLevel="0" collapsed="false">
      <c r="A28" s="3" t="n">
        <v>18</v>
      </c>
      <c r="B28" s="3" t="s">
        <v>581</v>
      </c>
      <c r="C28" s="3" t="s">
        <v>577</v>
      </c>
      <c r="D28" s="3" t="s">
        <v>495</v>
      </c>
      <c r="E28" s="5" t="n">
        <v>4000</v>
      </c>
      <c r="F28" s="14" t="s">
        <v>485</v>
      </c>
      <c r="G28" s="5" t="n">
        <v>2</v>
      </c>
      <c r="H28" s="14" t="s">
        <v>497</v>
      </c>
      <c r="I28" s="14" t="s">
        <v>582</v>
      </c>
      <c r="J28" s="5" t="n">
        <v>180</v>
      </c>
      <c r="K28" s="5" t="n">
        <v>20</v>
      </c>
      <c r="L28" s="14" t="s">
        <v>583</v>
      </c>
      <c r="M28" s="3" t="n">
        <f aca="false">IF(ISNUMBER(E28),ROUND(E28*$F$2,0),"—")</f>
        <v>4600</v>
      </c>
      <c r="N28" s="3" t="n">
        <f aca="false">IF(ISNUMBER(E28),ROUND(E28*$H$2,0),"—")</f>
        <v>5200</v>
      </c>
      <c r="O28" s="3" t="n">
        <f aca="false">IF(ISNUMBER(E28),ROUND(E28*$J$2,0),"—")</f>
        <v>5800</v>
      </c>
      <c r="P28" s="3" t="n">
        <f aca="false">ROUND(J28*$L$2,0)</f>
        <v>225</v>
      </c>
    </row>
    <row r="29" customFormat="false" ht="15" hidden="false" customHeight="true" outlineLevel="0" collapsed="false">
      <c r="A29" s="3" t="n">
        <v>19</v>
      </c>
      <c r="B29" s="3" t="s">
        <v>584</v>
      </c>
      <c r="C29" s="3" t="s">
        <v>577</v>
      </c>
      <c r="D29" s="3" t="s">
        <v>501</v>
      </c>
      <c r="E29" s="5" t="n">
        <v>150</v>
      </c>
      <c r="F29" s="14" t="s">
        <v>134</v>
      </c>
      <c r="G29" s="5" t="n">
        <v>4</v>
      </c>
      <c r="H29" s="14" t="s">
        <v>497</v>
      </c>
      <c r="I29" s="14" t="s">
        <v>585</v>
      </c>
      <c r="J29" s="5" t="n">
        <v>10</v>
      </c>
      <c r="K29" s="5" t="n">
        <v>0</v>
      </c>
      <c r="L29" s="14" t="s">
        <v>586</v>
      </c>
      <c r="M29" s="3" t="n">
        <f aca="false">IF(ISNUMBER(E29),ROUND(E29*$F$2,0),"—")</f>
        <v>173</v>
      </c>
      <c r="N29" s="3" t="n">
        <f aca="false">IF(ISNUMBER(E29),ROUND(E29*$H$2,0),"—")</f>
        <v>195</v>
      </c>
      <c r="O29" s="3" t="n">
        <f aca="false">IF(ISNUMBER(E29),ROUND(E29*$J$2,0),"—")</f>
        <v>218</v>
      </c>
      <c r="P29" s="3" t="n">
        <f aca="false">ROUND(J29*$L$2,0)</f>
        <v>13</v>
      </c>
    </row>
    <row r="30" customFormat="false" ht="15" hidden="false" customHeight="true" outlineLevel="0" collapsed="false">
      <c r="A30" s="3" t="n">
        <v>20</v>
      </c>
      <c r="B30" s="3" t="s">
        <v>587</v>
      </c>
      <c r="C30" s="3" t="s">
        <v>577</v>
      </c>
      <c r="D30" s="3" t="s">
        <v>501</v>
      </c>
      <c r="E30" s="5" t="n">
        <v>180</v>
      </c>
      <c r="F30" s="14" t="s">
        <v>134</v>
      </c>
      <c r="G30" s="5" t="n">
        <v>6</v>
      </c>
      <c r="H30" s="14" t="s">
        <v>588</v>
      </c>
      <c r="I30" s="14" t="s">
        <v>522</v>
      </c>
      <c r="J30" s="5" t="n">
        <v>15</v>
      </c>
      <c r="K30" s="5" t="n">
        <v>0</v>
      </c>
      <c r="L30" s="14" t="s">
        <v>589</v>
      </c>
      <c r="M30" s="3" t="n">
        <f aca="false">IF(ISNUMBER(E30),ROUND(E30*$F$2,0),"—")</f>
        <v>207</v>
      </c>
      <c r="N30" s="3" t="n">
        <f aca="false">IF(ISNUMBER(E30),ROUND(E30*$H$2,0),"—")</f>
        <v>234</v>
      </c>
      <c r="O30" s="3" t="n">
        <f aca="false">IF(ISNUMBER(E30),ROUND(E30*$J$2,0),"—")</f>
        <v>261</v>
      </c>
      <c r="P30" s="3" t="n">
        <f aca="false">ROUND(J30*$L$2,0)</f>
        <v>19</v>
      </c>
    </row>
    <row r="31" customFormat="false" ht="26.25" hidden="false" customHeight="true" outlineLevel="0" collapsed="false">
      <c r="A31" s="3" t="n">
        <v>21</v>
      </c>
      <c r="B31" s="3" t="s">
        <v>590</v>
      </c>
      <c r="C31" s="3" t="s">
        <v>577</v>
      </c>
      <c r="D31" s="3" t="s">
        <v>495</v>
      </c>
      <c r="E31" s="5" t="n">
        <v>2800</v>
      </c>
      <c r="F31" s="14" t="s">
        <v>591</v>
      </c>
      <c r="G31" s="3"/>
      <c r="H31" s="14" t="s">
        <v>497</v>
      </c>
      <c r="I31" s="14" t="s">
        <v>498</v>
      </c>
      <c r="J31" s="5" t="n">
        <v>160</v>
      </c>
      <c r="K31" s="5" t="n">
        <v>20</v>
      </c>
      <c r="L31" s="14" t="s">
        <v>592</v>
      </c>
      <c r="M31" s="3" t="n">
        <f aca="false">IF(ISNUMBER(E31),ROUND(E31*$F$2,0),"—")</f>
        <v>3220</v>
      </c>
      <c r="N31" s="3" t="n">
        <f aca="false">IF(ISNUMBER(E31),ROUND(E31*$H$2,0),"—")</f>
        <v>3640</v>
      </c>
      <c r="O31" s="3" t="n">
        <f aca="false">IF(ISNUMBER(E31),ROUND(E31*$J$2,0),"—")</f>
        <v>4060</v>
      </c>
      <c r="P31" s="3" t="n">
        <f aca="false">ROUND(J31*$L$2,0)</f>
        <v>200</v>
      </c>
    </row>
    <row r="32" customFormat="false" ht="15" hidden="false" customHeight="true" outlineLevel="0" collapsed="false">
      <c r="A32" s="3" t="n">
        <v>22</v>
      </c>
      <c r="B32" s="3" t="s">
        <v>593</v>
      </c>
      <c r="C32" s="3" t="s">
        <v>577</v>
      </c>
      <c r="D32" s="3" t="s">
        <v>484</v>
      </c>
      <c r="E32" s="5" t="n">
        <v>700</v>
      </c>
      <c r="F32" s="14" t="s">
        <v>134</v>
      </c>
      <c r="G32" s="5" t="n">
        <v>2.5</v>
      </c>
      <c r="H32" s="14" t="s">
        <v>594</v>
      </c>
      <c r="I32" s="14" t="s">
        <v>505</v>
      </c>
      <c r="J32" s="5" t="n">
        <v>45</v>
      </c>
      <c r="K32" s="5" t="n">
        <v>0</v>
      </c>
      <c r="L32" s="14" t="s">
        <v>595</v>
      </c>
      <c r="M32" s="3" t="n">
        <f aca="false">IF(ISNUMBER(E32),ROUND(E32*$F$2,0),"—")</f>
        <v>805</v>
      </c>
      <c r="N32" s="3" t="n">
        <f aca="false">IF(ISNUMBER(E32),ROUND(E32*$H$2,0),"—")</f>
        <v>910</v>
      </c>
      <c r="O32" s="3" t="n">
        <f aca="false">IF(ISNUMBER(E32),ROUND(E32*$J$2,0),"—")</f>
        <v>1015</v>
      </c>
      <c r="P32" s="3" t="n">
        <f aca="false">ROUND(J32*$L$2,0)</f>
        <v>56</v>
      </c>
    </row>
    <row r="33" customFormat="false" ht="26.25" hidden="false" customHeight="true" outlineLevel="0" collapsed="false">
      <c r="A33" s="3" t="n">
        <v>23</v>
      </c>
      <c r="B33" s="3" t="s">
        <v>596</v>
      </c>
      <c r="C33" s="3" t="s">
        <v>577</v>
      </c>
      <c r="D33" s="3" t="s">
        <v>484</v>
      </c>
      <c r="E33" s="5" t="n">
        <v>800</v>
      </c>
      <c r="F33" s="14" t="s">
        <v>134</v>
      </c>
      <c r="G33" s="5" t="n">
        <v>8</v>
      </c>
      <c r="H33" s="14" t="s">
        <v>597</v>
      </c>
      <c r="I33" s="14" t="s">
        <v>487</v>
      </c>
      <c r="J33" s="5" t="n">
        <v>45</v>
      </c>
      <c r="K33" s="5" t="n">
        <v>0</v>
      </c>
      <c r="L33" s="14" t="s">
        <v>598</v>
      </c>
      <c r="M33" s="3" t="n">
        <f aca="false">IF(ISNUMBER(E33),ROUND(E33*$F$2,0),"—")</f>
        <v>920</v>
      </c>
      <c r="N33" s="3" t="n">
        <f aca="false">IF(ISNUMBER(E33),ROUND(E33*$H$2,0),"—")</f>
        <v>1040</v>
      </c>
      <c r="O33" s="3" t="n">
        <f aca="false">IF(ISNUMBER(E33),ROUND(E33*$J$2,0),"—")</f>
        <v>1160</v>
      </c>
      <c r="P33" s="3" t="n">
        <f aca="false">ROUND(J33*$L$2,0)</f>
        <v>56</v>
      </c>
    </row>
    <row r="34" customFormat="false" ht="26.25" hidden="false" customHeight="true" outlineLevel="0" collapsed="false">
      <c r="A34" s="3" t="n">
        <v>24</v>
      </c>
      <c r="B34" s="3" t="s">
        <v>599</v>
      </c>
      <c r="C34" s="3" t="s">
        <v>577</v>
      </c>
      <c r="D34" s="3" t="s">
        <v>516</v>
      </c>
      <c r="E34" s="5" t="n">
        <v>28000</v>
      </c>
      <c r="F34" s="14" t="s">
        <v>600</v>
      </c>
      <c r="G34" s="5" t="n">
        <v>6</v>
      </c>
      <c r="H34" s="14" t="s">
        <v>497</v>
      </c>
      <c r="I34" s="14" t="s">
        <v>518</v>
      </c>
      <c r="J34" s="5" t="n">
        <v>400</v>
      </c>
      <c r="K34" s="5" t="n">
        <v>100</v>
      </c>
      <c r="L34" s="14" t="s">
        <v>601</v>
      </c>
      <c r="M34" s="3" t="n">
        <f aca="false">IF(ISNUMBER(E34),ROUND(E34*$F$2,0),"—")</f>
        <v>32200</v>
      </c>
      <c r="N34" s="3" t="n">
        <f aca="false">IF(ISNUMBER(E34),ROUND(E34*$H$2,0),"—")</f>
        <v>36400</v>
      </c>
      <c r="O34" s="3" t="n">
        <f aca="false">IF(ISNUMBER(E34),ROUND(E34*$J$2,0),"—")</f>
        <v>40600</v>
      </c>
      <c r="P34" s="3" t="n">
        <f aca="false">ROUND(J34*$L$2,0)</f>
        <v>500</v>
      </c>
    </row>
    <row r="35" customFormat="false" ht="26.25" hidden="false" customHeight="true" outlineLevel="0" collapsed="false">
      <c r="A35" s="3" t="n">
        <v>41</v>
      </c>
      <c r="B35" s="3" t="s">
        <v>602</v>
      </c>
      <c r="C35" s="3" t="s">
        <v>577</v>
      </c>
      <c r="D35" s="3" t="s">
        <v>484</v>
      </c>
      <c r="E35" s="5" t="n">
        <v>1100</v>
      </c>
      <c r="F35" s="14" t="s">
        <v>134</v>
      </c>
      <c r="G35" s="5" t="n">
        <v>2.5</v>
      </c>
      <c r="H35" s="14" t="s">
        <v>603</v>
      </c>
      <c r="I35" s="14" t="s">
        <v>513</v>
      </c>
      <c r="J35" s="5" t="n">
        <v>50</v>
      </c>
      <c r="K35" s="5" t="n">
        <v>0</v>
      </c>
      <c r="L35" s="14" t="s">
        <v>604</v>
      </c>
      <c r="M35" s="3" t="n">
        <f aca="false">IF(ISNUMBER(E35),ROUND(E35*$F$2,0),"—")</f>
        <v>1265</v>
      </c>
      <c r="N35" s="3" t="n">
        <f aca="false">IF(ISNUMBER(E35),ROUND(E35*$H$2,0),"—")</f>
        <v>1430</v>
      </c>
      <c r="O35" s="3" t="n">
        <f aca="false">IF(ISNUMBER(E35),ROUND(E35*$J$2,0),"—")</f>
        <v>1595</v>
      </c>
      <c r="P35" s="3" t="n">
        <f aca="false">ROUND(J35*$L$2,0)</f>
        <v>63</v>
      </c>
    </row>
    <row r="36" customFormat="false" ht="15" hidden="false" customHeight="true" outlineLevel="0" collapsed="false">
      <c r="A36" s="3" t="n">
        <v>46</v>
      </c>
      <c r="B36" s="3" t="s">
        <v>605</v>
      </c>
      <c r="C36" s="3" t="s">
        <v>577</v>
      </c>
      <c r="D36" s="3" t="s">
        <v>495</v>
      </c>
      <c r="E36" s="5" t="n">
        <v>3200</v>
      </c>
      <c r="F36" s="14" t="s">
        <v>496</v>
      </c>
      <c r="G36" s="5" t="n">
        <v>4</v>
      </c>
      <c r="H36" s="14" t="s">
        <v>497</v>
      </c>
      <c r="I36" s="14" t="s">
        <v>498</v>
      </c>
      <c r="J36" s="5" t="n">
        <v>160</v>
      </c>
      <c r="K36" s="5" t="n">
        <v>20</v>
      </c>
      <c r="L36" s="14" t="s">
        <v>606</v>
      </c>
      <c r="M36" s="3" t="n">
        <f aca="false">IF(ISNUMBER(E36),ROUND(E36*$F$2,0),"—")</f>
        <v>3680</v>
      </c>
      <c r="N36" s="3" t="n">
        <f aca="false">IF(ISNUMBER(E36),ROUND(E36*$H$2,0),"—")</f>
        <v>4160</v>
      </c>
      <c r="O36" s="3" t="n">
        <f aca="false">IF(ISNUMBER(E36),ROUND(E36*$J$2,0),"—")</f>
        <v>4640</v>
      </c>
      <c r="P36" s="3" t="n">
        <f aca="false">ROUND(J36*$L$2,0)</f>
        <v>200</v>
      </c>
    </row>
    <row r="37" customFormat="false" ht="26.25" hidden="false" customHeight="true" outlineLevel="0" collapsed="false">
      <c r="A37" s="3" t="n">
        <v>51</v>
      </c>
      <c r="B37" s="3" t="s">
        <v>607</v>
      </c>
      <c r="C37" s="3" t="s">
        <v>577</v>
      </c>
      <c r="D37" s="3" t="s">
        <v>484</v>
      </c>
      <c r="E37" s="5" t="n">
        <v>1300</v>
      </c>
      <c r="F37" s="14" t="s">
        <v>134</v>
      </c>
      <c r="G37" s="5" t="n">
        <v>3</v>
      </c>
      <c r="H37" s="14" t="s">
        <v>608</v>
      </c>
      <c r="I37" s="14" t="s">
        <v>512</v>
      </c>
      <c r="J37" s="5" t="n">
        <v>55</v>
      </c>
      <c r="K37" s="5" t="n">
        <v>0</v>
      </c>
      <c r="L37" s="14" t="s">
        <v>609</v>
      </c>
      <c r="M37" s="3" t="n">
        <f aca="false">IF(ISNUMBER(E37),ROUND(E37*$F$2,0),"—")</f>
        <v>1495</v>
      </c>
      <c r="N37" s="3" t="n">
        <f aca="false">IF(ISNUMBER(E37),ROUND(E37*$H$2,0),"—")</f>
        <v>1690</v>
      </c>
      <c r="O37" s="3" t="n">
        <f aca="false">IF(ISNUMBER(E37),ROUND(E37*$J$2,0),"—")</f>
        <v>1885</v>
      </c>
      <c r="P37" s="3" t="n">
        <f aca="false">ROUND(J37*$L$2,0)</f>
        <v>69</v>
      </c>
    </row>
    <row r="38" customFormat="false" ht="26.25" hidden="false" customHeight="true" outlineLevel="0" collapsed="false">
      <c r="A38" s="3" t="n">
        <v>25</v>
      </c>
      <c r="B38" s="3" t="s">
        <v>610</v>
      </c>
      <c r="C38" s="3" t="s">
        <v>611</v>
      </c>
      <c r="D38" s="3" t="s">
        <v>495</v>
      </c>
      <c r="E38" s="5" t="n">
        <v>2600</v>
      </c>
      <c r="F38" s="14" t="s">
        <v>556</v>
      </c>
      <c r="G38" s="5" t="n">
        <v>4</v>
      </c>
      <c r="H38" s="14" t="s">
        <v>497</v>
      </c>
      <c r="I38" s="14" t="s">
        <v>509</v>
      </c>
      <c r="J38" s="5" t="n">
        <v>150</v>
      </c>
      <c r="K38" s="5" t="n">
        <v>20</v>
      </c>
      <c r="L38" s="14" t="s">
        <v>612</v>
      </c>
      <c r="M38" s="3" t="n">
        <f aca="false">IF(ISNUMBER(E38),ROUND(E38*$F$2,0),"—")</f>
        <v>2990</v>
      </c>
      <c r="N38" s="3" t="n">
        <f aca="false">IF(ISNUMBER(E38),ROUND(E38*$H$2,0),"—")</f>
        <v>3380</v>
      </c>
      <c r="O38" s="3" t="n">
        <f aca="false">IF(ISNUMBER(E38),ROUND(E38*$J$2,0),"—")</f>
        <v>3770</v>
      </c>
      <c r="P38" s="3" t="n">
        <f aca="false">ROUND(J38*$L$2,0)</f>
        <v>188</v>
      </c>
    </row>
    <row r="39" customFormat="false" ht="15" hidden="false" customHeight="true" outlineLevel="0" collapsed="false">
      <c r="A39" s="3" t="n">
        <v>26</v>
      </c>
      <c r="B39" s="3" t="s">
        <v>613</v>
      </c>
      <c r="C39" s="3" t="s">
        <v>611</v>
      </c>
      <c r="D39" s="3" t="s">
        <v>501</v>
      </c>
      <c r="E39" s="5" t="n">
        <v>40</v>
      </c>
      <c r="F39" s="14" t="s">
        <v>614</v>
      </c>
      <c r="G39" s="5" t="n">
        <v>5</v>
      </c>
      <c r="H39" s="14" t="s">
        <v>615</v>
      </c>
      <c r="I39" s="14" t="s">
        <v>616</v>
      </c>
      <c r="J39" s="5" t="n">
        <v>24</v>
      </c>
      <c r="K39" s="5" t="n">
        <v>0</v>
      </c>
      <c r="L39" s="14" t="s">
        <v>617</v>
      </c>
      <c r="M39" s="3" t="n">
        <f aca="false">IF(ISNUMBER(E39),ROUND(E39*$F$2,0),"—")</f>
        <v>46</v>
      </c>
      <c r="N39" s="3" t="n">
        <f aca="false">IF(ISNUMBER(E39),ROUND(E39*$H$2,0),"—")</f>
        <v>52</v>
      </c>
      <c r="O39" s="3" t="n">
        <f aca="false">IF(ISNUMBER(E39),ROUND(E39*$J$2,0),"—")</f>
        <v>58</v>
      </c>
      <c r="P39" s="3" t="n">
        <f aca="false">ROUND(J39*$L$2,0)</f>
        <v>30</v>
      </c>
    </row>
    <row r="40" customFormat="false" ht="26.25" hidden="false" customHeight="true" outlineLevel="0" collapsed="false">
      <c r="A40" s="3" t="n">
        <v>27</v>
      </c>
      <c r="B40" s="3" t="s">
        <v>618</v>
      </c>
      <c r="C40" s="3" t="s">
        <v>611</v>
      </c>
      <c r="D40" s="3" t="s">
        <v>484</v>
      </c>
      <c r="E40" s="5" t="n">
        <v>1500</v>
      </c>
      <c r="F40" s="14" t="s">
        <v>134</v>
      </c>
      <c r="G40" s="5" t="n">
        <v>3</v>
      </c>
      <c r="H40" s="14" t="s">
        <v>497</v>
      </c>
      <c r="I40" s="14" t="s">
        <v>544</v>
      </c>
      <c r="J40" s="5" t="n">
        <v>60</v>
      </c>
      <c r="K40" s="5" t="n">
        <v>0</v>
      </c>
      <c r="L40" s="14" t="s">
        <v>609</v>
      </c>
      <c r="M40" s="3" t="n">
        <f aca="false">IF(ISNUMBER(E40),ROUND(E40*$F$2,0),"—")</f>
        <v>1725</v>
      </c>
      <c r="N40" s="3" t="n">
        <f aca="false">IF(ISNUMBER(E40),ROUND(E40*$H$2,0),"—")</f>
        <v>1950</v>
      </c>
      <c r="O40" s="3" t="n">
        <f aca="false">IF(ISNUMBER(E40),ROUND(E40*$J$2,0),"—")</f>
        <v>2175</v>
      </c>
      <c r="P40" s="3" t="n">
        <f aca="false">ROUND(J40*$L$2,0)</f>
        <v>75</v>
      </c>
    </row>
    <row r="41" customFormat="false" ht="15" hidden="false" customHeight="true" outlineLevel="0" collapsed="false">
      <c r="A41" s="3" t="n">
        <v>28</v>
      </c>
      <c r="B41" s="3" t="s">
        <v>619</v>
      </c>
      <c r="C41" s="3" t="s">
        <v>611</v>
      </c>
      <c r="D41" s="3" t="s">
        <v>484</v>
      </c>
      <c r="E41" s="5" t="n">
        <v>1000</v>
      </c>
      <c r="F41" s="14" t="s">
        <v>544</v>
      </c>
      <c r="G41" s="5" t="n">
        <v>4</v>
      </c>
      <c r="H41" s="14" t="s">
        <v>620</v>
      </c>
      <c r="I41" s="14" t="s">
        <v>512</v>
      </c>
      <c r="J41" s="5" t="n">
        <v>55</v>
      </c>
      <c r="K41" s="5" t="n">
        <v>0</v>
      </c>
      <c r="L41" s="14" t="s">
        <v>621</v>
      </c>
      <c r="M41" s="3" t="n">
        <f aca="false">IF(ISNUMBER(E41),ROUND(E41*$F$2,0),"—")</f>
        <v>1150</v>
      </c>
      <c r="N41" s="3" t="n">
        <f aca="false">IF(ISNUMBER(E41),ROUND(E41*$H$2,0),"—")</f>
        <v>1300</v>
      </c>
      <c r="O41" s="3" t="n">
        <f aca="false">IF(ISNUMBER(E41),ROUND(E41*$J$2,0),"—")</f>
        <v>1450</v>
      </c>
      <c r="P41" s="3" t="n">
        <f aca="false">ROUND(J41*$L$2,0)</f>
        <v>69</v>
      </c>
    </row>
    <row r="42" customFormat="false" ht="26.25" hidden="false" customHeight="true" outlineLevel="0" collapsed="false">
      <c r="A42" s="3" t="n">
        <v>29</v>
      </c>
      <c r="B42" s="3" t="s">
        <v>622</v>
      </c>
      <c r="C42" s="3" t="s">
        <v>611</v>
      </c>
      <c r="D42" s="3" t="s">
        <v>484</v>
      </c>
      <c r="E42" s="5" t="n">
        <v>800</v>
      </c>
      <c r="F42" s="14" t="s">
        <v>623</v>
      </c>
      <c r="G42" s="5" t="n">
        <v>6</v>
      </c>
      <c r="H42" s="14" t="s">
        <v>497</v>
      </c>
      <c r="I42" s="14" t="s">
        <v>512</v>
      </c>
      <c r="J42" s="5" t="n">
        <v>55</v>
      </c>
      <c r="K42" s="5" t="n">
        <v>0</v>
      </c>
      <c r="L42" s="14" t="s">
        <v>624</v>
      </c>
      <c r="M42" s="3" t="n">
        <f aca="false">IF(ISNUMBER(E42),ROUND(E42*$F$2,0),"—")</f>
        <v>920</v>
      </c>
      <c r="N42" s="3" t="n">
        <f aca="false">IF(ISNUMBER(E42),ROUND(E42*$H$2,0),"—")</f>
        <v>1040</v>
      </c>
      <c r="O42" s="3" t="n">
        <f aca="false">IF(ISNUMBER(E42),ROUND(E42*$J$2,0),"—")</f>
        <v>1160</v>
      </c>
      <c r="P42" s="3" t="n">
        <f aca="false">ROUND(J42*$L$2,0)</f>
        <v>69</v>
      </c>
    </row>
    <row r="43" customFormat="false" ht="15" hidden="false" customHeight="true" outlineLevel="0" collapsed="false">
      <c r="A43" s="3" t="n">
        <v>30</v>
      </c>
      <c r="B43" s="3" t="s">
        <v>625</v>
      </c>
      <c r="C43" s="3" t="s">
        <v>611</v>
      </c>
      <c r="D43" s="3" t="s">
        <v>495</v>
      </c>
      <c r="E43" s="5" t="n">
        <v>3000</v>
      </c>
      <c r="F43" s="14" t="s">
        <v>626</v>
      </c>
      <c r="G43" s="5" t="n">
        <v>3.5</v>
      </c>
      <c r="H43" s="14" t="s">
        <v>497</v>
      </c>
      <c r="I43" s="14" t="s">
        <v>548</v>
      </c>
      <c r="J43" s="5" t="n">
        <v>170</v>
      </c>
      <c r="K43" s="5" t="n">
        <v>20</v>
      </c>
      <c r="L43" s="14" t="s">
        <v>627</v>
      </c>
      <c r="M43" s="3" t="n">
        <f aca="false">IF(ISNUMBER(E43),ROUND(E43*$F$2,0),"—")</f>
        <v>3450</v>
      </c>
      <c r="N43" s="3" t="n">
        <f aca="false">IF(ISNUMBER(E43),ROUND(E43*$H$2,0),"—")</f>
        <v>3900</v>
      </c>
      <c r="O43" s="3" t="n">
        <f aca="false">IF(ISNUMBER(E43),ROUND(E43*$J$2,0),"—")</f>
        <v>4350</v>
      </c>
      <c r="P43" s="3" t="n">
        <f aca="false">ROUND(J43*$L$2,0)</f>
        <v>213</v>
      </c>
    </row>
    <row r="44" customFormat="false" ht="26.25" hidden="false" customHeight="true" outlineLevel="0" collapsed="false">
      <c r="A44" s="3" t="n">
        <v>31</v>
      </c>
      <c r="B44" s="3" t="s">
        <v>628</v>
      </c>
      <c r="C44" s="3" t="s">
        <v>611</v>
      </c>
      <c r="D44" s="3" t="s">
        <v>484</v>
      </c>
      <c r="E44" s="5" t="n">
        <v>900</v>
      </c>
      <c r="F44" s="14" t="s">
        <v>134</v>
      </c>
      <c r="G44" s="5" t="n">
        <v>3.5</v>
      </c>
      <c r="H44" s="14" t="s">
        <v>497</v>
      </c>
      <c r="I44" s="14" t="s">
        <v>629</v>
      </c>
      <c r="J44" s="5" t="n">
        <v>40</v>
      </c>
      <c r="K44" s="5" t="n">
        <v>0</v>
      </c>
      <c r="L44" s="14" t="s">
        <v>630</v>
      </c>
      <c r="M44" s="3" t="n">
        <f aca="false">IF(ISNUMBER(E44),ROUND(E44*$F$2,0),"—")</f>
        <v>1035</v>
      </c>
      <c r="N44" s="3" t="n">
        <f aca="false">IF(ISNUMBER(E44),ROUND(E44*$H$2,0),"—")</f>
        <v>1170</v>
      </c>
      <c r="O44" s="3" t="n">
        <f aca="false">IF(ISNUMBER(E44),ROUND(E44*$J$2,0),"—")</f>
        <v>1305</v>
      </c>
      <c r="P44" s="3" t="n">
        <f aca="false">ROUND(J44*$L$2,0)</f>
        <v>50</v>
      </c>
    </row>
    <row r="45" customFormat="false" ht="15" hidden="false" customHeight="true" outlineLevel="0" collapsed="false">
      <c r="A45" s="3" t="n">
        <v>32</v>
      </c>
      <c r="B45" s="3" t="s">
        <v>631</v>
      </c>
      <c r="C45" s="3" t="s">
        <v>611</v>
      </c>
      <c r="D45" s="3" t="s">
        <v>516</v>
      </c>
      <c r="E45" s="5" t="n">
        <v>22000</v>
      </c>
      <c r="F45" s="14" t="s">
        <v>632</v>
      </c>
      <c r="G45" s="5" t="n">
        <v>3</v>
      </c>
      <c r="H45" s="14" t="s">
        <v>497</v>
      </c>
      <c r="I45" s="14" t="s">
        <v>518</v>
      </c>
      <c r="J45" s="5" t="n">
        <v>400</v>
      </c>
      <c r="K45" s="5" t="n">
        <v>100</v>
      </c>
      <c r="L45" s="14" t="s">
        <v>633</v>
      </c>
      <c r="M45" s="3" t="n">
        <f aca="false">IF(ISNUMBER(E45),ROUND(E45*$F$2,0),"—")</f>
        <v>25300</v>
      </c>
      <c r="N45" s="3" t="n">
        <f aca="false">IF(ISNUMBER(E45),ROUND(E45*$H$2,0),"—")</f>
        <v>28600</v>
      </c>
      <c r="O45" s="3" t="n">
        <f aca="false">IF(ISNUMBER(E45),ROUND(E45*$J$2,0),"—")</f>
        <v>31900</v>
      </c>
      <c r="P45" s="3" t="n">
        <f aca="false">ROUND(J45*$L$2,0)</f>
        <v>500</v>
      </c>
    </row>
    <row r="46" customFormat="false" ht="26.25" hidden="false" customHeight="true" outlineLevel="0" collapsed="false">
      <c r="A46" s="3" t="n">
        <v>48</v>
      </c>
      <c r="B46" s="3" t="s">
        <v>634</v>
      </c>
      <c r="C46" s="3" t="s">
        <v>611</v>
      </c>
      <c r="D46" s="3" t="s">
        <v>501</v>
      </c>
      <c r="E46" s="5" t="n">
        <v>30</v>
      </c>
      <c r="F46" s="14" t="s">
        <v>134</v>
      </c>
      <c r="G46" s="5" t="n">
        <v>2</v>
      </c>
      <c r="H46" s="14" t="s">
        <v>635</v>
      </c>
      <c r="I46" s="14" t="s">
        <v>636</v>
      </c>
      <c r="J46" s="5" t="n">
        <v>15</v>
      </c>
      <c r="K46" s="5" t="n">
        <v>0</v>
      </c>
      <c r="L46" s="14" t="s">
        <v>637</v>
      </c>
      <c r="M46" s="3" t="n">
        <f aca="false">IF(ISNUMBER(E46),ROUND(E46*$F$2,0),"—")</f>
        <v>35</v>
      </c>
      <c r="N46" s="3" t="n">
        <f aca="false">IF(ISNUMBER(E46),ROUND(E46*$H$2,0),"—")</f>
        <v>39</v>
      </c>
      <c r="O46" s="3" t="n">
        <f aca="false">IF(ISNUMBER(E46),ROUND(E46*$J$2,0),"—")</f>
        <v>44</v>
      </c>
      <c r="P46" s="3" t="n">
        <f aca="false">ROUND(J46*$L$2,0)</f>
        <v>19</v>
      </c>
    </row>
    <row r="47" customFormat="false" ht="15" hidden="false" customHeight="true" outlineLevel="0" collapsed="false">
      <c r="A47" s="3" t="n">
        <v>33</v>
      </c>
      <c r="B47" s="3" t="s">
        <v>638</v>
      </c>
      <c r="C47" s="3" t="s">
        <v>639</v>
      </c>
      <c r="D47" s="3" t="s">
        <v>501</v>
      </c>
      <c r="E47" s="5" t="n">
        <v>60</v>
      </c>
      <c r="F47" s="14" t="s">
        <v>134</v>
      </c>
      <c r="G47" s="5" t="n">
        <v>4</v>
      </c>
      <c r="H47" s="14" t="s">
        <v>640</v>
      </c>
      <c r="I47" s="14" t="s">
        <v>641</v>
      </c>
      <c r="J47" s="5" t="n">
        <v>16</v>
      </c>
      <c r="K47" s="5" t="n">
        <v>0</v>
      </c>
      <c r="L47" s="14" t="s">
        <v>642</v>
      </c>
      <c r="M47" s="3" t="n">
        <f aca="false">IF(ISNUMBER(E47),ROUND(E47*$F$2,0),"—")</f>
        <v>69</v>
      </c>
      <c r="N47" s="3" t="n">
        <f aca="false">IF(ISNUMBER(E47),ROUND(E47*$H$2,0),"—")</f>
        <v>78</v>
      </c>
      <c r="O47" s="3" t="n">
        <f aca="false">IF(ISNUMBER(E47),ROUND(E47*$J$2,0),"—")</f>
        <v>87</v>
      </c>
      <c r="P47" s="3" t="n">
        <f aca="false">ROUND(J47*$L$2,0)</f>
        <v>20</v>
      </c>
    </row>
    <row r="48" customFormat="false" ht="26.25" hidden="false" customHeight="true" outlineLevel="0" collapsed="false">
      <c r="A48" s="3" t="n">
        <v>34</v>
      </c>
      <c r="B48" s="3" t="s">
        <v>643</v>
      </c>
      <c r="C48" s="3" t="s">
        <v>639</v>
      </c>
      <c r="D48" s="3" t="s">
        <v>495</v>
      </c>
      <c r="E48" s="5" t="n">
        <v>3200</v>
      </c>
      <c r="F48" s="14" t="s">
        <v>508</v>
      </c>
      <c r="G48" s="5" t="n">
        <v>3.5</v>
      </c>
      <c r="H48" s="14" t="s">
        <v>497</v>
      </c>
      <c r="I48" s="14" t="s">
        <v>548</v>
      </c>
      <c r="J48" s="5" t="n">
        <v>170</v>
      </c>
      <c r="K48" s="5" t="n">
        <v>20</v>
      </c>
      <c r="L48" s="14" t="s">
        <v>644</v>
      </c>
      <c r="M48" s="3" t="n">
        <f aca="false">IF(ISNUMBER(E48),ROUND(E48*$F$2,0),"—")</f>
        <v>3680</v>
      </c>
      <c r="N48" s="3" t="n">
        <f aca="false">IF(ISNUMBER(E48),ROUND(E48*$H$2,0),"—")</f>
        <v>4160</v>
      </c>
      <c r="O48" s="3" t="n">
        <f aca="false">IF(ISNUMBER(E48),ROUND(E48*$J$2,0),"—")</f>
        <v>4640</v>
      </c>
      <c r="P48" s="3" t="n">
        <f aca="false">ROUND(J48*$L$2,0)</f>
        <v>213</v>
      </c>
    </row>
    <row r="49" customFormat="false" ht="26.25" hidden="false" customHeight="true" outlineLevel="0" collapsed="false">
      <c r="A49" s="3" t="n">
        <v>35</v>
      </c>
      <c r="B49" s="3" t="s">
        <v>645</v>
      </c>
      <c r="C49" s="3" t="s">
        <v>639</v>
      </c>
      <c r="D49" s="3" t="s">
        <v>501</v>
      </c>
      <c r="E49" s="5" t="n">
        <v>80</v>
      </c>
      <c r="F49" s="14" t="s">
        <v>134</v>
      </c>
      <c r="G49" s="5" t="n">
        <v>2</v>
      </c>
      <c r="H49" s="14" t="s">
        <v>646</v>
      </c>
      <c r="I49" s="14" t="s">
        <v>585</v>
      </c>
      <c r="J49" s="5" t="n">
        <v>10</v>
      </c>
      <c r="K49" s="5" t="n">
        <v>0</v>
      </c>
      <c r="L49" s="14" t="s">
        <v>647</v>
      </c>
      <c r="M49" s="3" t="n">
        <f aca="false">IF(ISNUMBER(E49),ROUND(E49*$F$2,0),"—")</f>
        <v>92</v>
      </c>
      <c r="N49" s="3" t="n">
        <f aca="false">IF(ISNUMBER(E49),ROUND(E49*$H$2,0),"—")</f>
        <v>104</v>
      </c>
      <c r="O49" s="3" t="n">
        <f aca="false">IF(ISNUMBER(E49),ROUND(E49*$J$2,0),"—")</f>
        <v>116</v>
      </c>
      <c r="P49" s="3" t="n">
        <f aca="false">ROUND(J49*$L$2,0)</f>
        <v>13</v>
      </c>
    </row>
    <row r="50" customFormat="false" ht="15" hidden="false" customHeight="true" outlineLevel="0" collapsed="false">
      <c r="A50" s="3" t="n">
        <v>36</v>
      </c>
      <c r="B50" s="3" t="s">
        <v>648</v>
      </c>
      <c r="C50" s="3" t="s">
        <v>639</v>
      </c>
      <c r="D50" s="3" t="s">
        <v>484</v>
      </c>
      <c r="E50" s="3" t="s">
        <v>649</v>
      </c>
      <c r="F50" s="14" t="s">
        <v>650</v>
      </c>
      <c r="G50" s="5" t="n">
        <v>7</v>
      </c>
      <c r="H50" s="14" t="s">
        <v>651</v>
      </c>
      <c r="I50" s="14" t="s">
        <v>652</v>
      </c>
      <c r="J50" s="5" t="n">
        <v>50</v>
      </c>
      <c r="K50" s="5" t="n">
        <v>0</v>
      </c>
      <c r="L50" s="14" t="s">
        <v>653</v>
      </c>
      <c r="M50" s="3" t="str">
        <f aca="false">IF(ISNUMBER(E50),ROUND(E50*$F$2,0),"—")</f>
        <v>—</v>
      </c>
      <c r="N50" s="3" t="str">
        <f aca="false">IF(ISNUMBER(E50),ROUND(E50*$H$2,0),"—")</f>
        <v>—</v>
      </c>
      <c r="O50" s="3" t="str">
        <f aca="false">IF(ISNUMBER(E50),ROUND(E50*$J$2,0),"—")</f>
        <v>—</v>
      </c>
      <c r="P50" s="3" t="n">
        <f aca="false">ROUND(J50*$L$2,0)</f>
        <v>63</v>
      </c>
    </row>
    <row r="51" customFormat="false" ht="15" hidden="false" customHeight="true" outlineLevel="0" collapsed="false">
      <c r="A51" s="3" t="n">
        <v>37</v>
      </c>
      <c r="B51" s="3" t="s">
        <v>654</v>
      </c>
      <c r="C51" s="3" t="s">
        <v>639</v>
      </c>
      <c r="D51" s="3" t="s">
        <v>501</v>
      </c>
      <c r="E51" s="5" t="n">
        <v>60</v>
      </c>
      <c r="F51" s="14" t="s">
        <v>134</v>
      </c>
      <c r="G51" s="5" t="n">
        <v>1</v>
      </c>
      <c r="H51" s="14" t="s">
        <v>655</v>
      </c>
      <c r="I51" s="14" t="s">
        <v>539</v>
      </c>
      <c r="J51" s="5" t="n">
        <v>10</v>
      </c>
      <c r="K51" s="5" t="n">
        <v>0</v>
      </c>
      <c r="L51" s="14" t="s">
        <v>656</v>
      </c>
      <c r="M51" s="3" t="n">
        <f aca="false">IF(ISNUMBER(E51),ROUND(E51*$F$2,0),"—")</f>
        <v>69</v>
      </c>
      <c r="N51" s="3" t="n">
        <f aca="false">IF(ISNUMBER(E51),ROUND(E51*$H$2,0),"—")</f>
        <v>78</v>
      </c>
      <c r="O51" s="3" t="n">
        <f aca="false">IF(ISNUMBER(E51),ROUND(E51*$J$2,0),"—")</f>
        <v>87</v>
      </c>
      <c r="P51" s="3" t="n">
        <f aca="false">ROUND(J51*$L$2,0)</f>
        <v>13</v>
      </c>
    </row>
    <row r="52" customFormat="false" ht="26.25" hidden="false" customHeight="true" outlineLevel="0" collapsed="false">
      <c r="A52" s="3" t="n">
        <v>38</v>
      </c>
      <c r="B52" s="3" t="s">
        <v>657</v>
      </c>
      <c r="C52" s="3" t="s">
        <v>639</v>
      </c>
      <c r="D52" s="3" t="s">
        <v>495</v>
      </c>
      <c r="E52" s="5" t="n">
        <v>2400</v>
      </c>
      <c r="F52" s="14" t="s">
        <v>658</v>
      </c>
      <c r="G52" s="5" t="n">
        <v>5.5</v>
      </c>
      <c r="H52" s="14" t="s">
        <v>659</v>
      </c>
      <c r="I52" s="14" t="s">
        <v>498</v>
      </c>
      <c r="J52" s="5" t="n">
        <v>160</v>
      </c>
      <c r="K52" s="5" t="n">
        <v>20</v>
      </c>
      <c r="L52" s="14" t="s">
        <v>660</v>
      </c>
      <c r="M52" s="3" t="n">
        <f aca="false">IF(ISNUMBER(E52),ROUND(E52*$F$2,0),"—")</f>
        <v>2760</v>
      </c>
      <c r="N52" s="3" t="n">
        <f aca="false">IF(ISNUMBER(E52),ROUND(E52*$H$2,0),"—")</f>
        <v>3120</v>
      </c>
      <c r="O52" s="3" t="n">
        <f aca="false">IF(ISNUMBER(E52),ROUND(E52*$J$2,0),"—")</f>
        <v>3480</v>
      </c>
      <c r="P52" s="3" t="n">
        <f aca="false">ROUND(J52*$L$2,0)</f>
        <v>200</v>
      </c>
    </row>
    <row r="53" customFormat="false" ht="15" hidden="false" customHeight="true" outlineLevel="0" collapsed="false">
      <c r="A53" s="3" t="n">
        <v>39</v>
      </c>
      <c r="B53" s="3" t="s">
        <v>661</v>
      </c>
      <c r="C53" s="3" t="s">
        <v>639</v>
      </c>
      <c r="D53" s="3" t="s">
        <v>501</v>
      </c>
      <c r="E53" s="5" t="n">
        <v>100</v>
      </c>
      <c r="F53" s="14" t="s">
        <v>134</v>
      </c>
      <c r="G53" s="5" t="n">
        <v>1.5</v>
      </c>
      <c r="H53" s="14" t="s">
        <v>662</v>
      </c>
      <c r="I53" s="14" t="s">
        <v>539</v>
      </c>
      <c r="J53" s="5" t="n">
        <v>10</v>
      </c>
      <c r="K53" s="5" t="n">
        <v>0</v>
      </c>
      <c r="L53" s="14" t="s">
        <v>663</v>
      </c>
      <c r="M53" s="3" t="n">
        <f aca="false">IF(ISNUMBER(E53),ROUND(E53*$F$2,0),"—")</f>
        <v>115</v>
      </c>
      <c r="N53" s="3" t="n">
        <f aca="false">IF(ISNUMBER(E53),ROUND(E53*$H$2,0),"—")</f>
        <v>130</v>
      </c>
      <c r="O53" s="3" t="n">
        <f aca="false">IF(ISNUMBER(E53),ROUND(E53*$J$2,0),"—")</f>
        <v>145</v>
      </c>
      <c r="P53" s="3" t="n">
        <f aca="false">ROUND(J53*$L$2,0)</f>
        <v>13</v>
      </c>
    </row>
    <row r="54" customFormat="false" ht="26.25" hidden="false" customHeight="true" outlineLevel="0" collapsed="false">
      <c r="A54" s="3" t="n">
        <v>40</v>
      </c>
      <c r="B54" s="3" t="s">
        <v>664</v>
      </c>
      <c r="C54" s="3" t="s">
        <v>639</v>
      </c>
      <c r="D54" s="3" t="s">
        <v>516</v>
      </c>
      <c r="E54" s="5" t="n">
        <v>26000</v>
      </c>
      <c r="F54" s="14" t="s">
        <v>665</v>
      </c>
      <c r="G54" s="5" t="n">
        <v>2.5</v>
      </c>
      <c r="H54" s="14" t="s">
        <v>497</v>
      </c>
      <c r="I54" s="14" t="s">
        <v>666</v>
      </c>
      <c r="J54" s="5" t="n">
        <v>400</v>
      </c>
      <c r="K54" s="5" t="n">
        <v>100</v>
      </c>
      <c r="L54" s="14" t="s">
        <v>667</v>
      </c>
      <c r="M54" s="3" t="n">
        <f aca="false">IF(ISNUMBER(E54),ROUND(E54*$F$2,0),"—")</f>
        <v>29900</v>
      </c>
      <c r="N54" s="3" t="n">
        <f aca="false">IF(ISNUMBER(E54),ROUND(E54*$H$2,0),"—")</f>
        <v>33800</v>
      </c>
      <c r="O54" s="3" t="n">
        <f aca="false">IF(ISNUMBER(E54),ROUND(E54*$J$2,0),"—")</f>
        <v>37700</v>
      </c>
      <c r="P54" s="3" t="n">
        <f aca="false">ROUND(J54*$L$2,0)</f>
        <v>500</v>
      </c>
    </row>
    <row r="55" customFormat="false" ht="26.25" hidden="false" customHeight="true" outlineLevel="0" collapsed="false">
      <c r="A55" s="3" t="n">
        <v>42</v>
      </c>
      <c r="B55" s="3" t="s">
        <v>668</v>
      </c>
      <c r="C55" s="3" t="s">
        <v>639</v>
      </c>
      <c r="D55" s="3" t="s">
        <v>484</v>
      </c>
      <c r="E55" s="5" t="n">
        <v>900</v>
      </c>
      <c r="F55" s="14" t="s">
        <v>512</v>
      </c>
      <c r="G55" s="5" t="n">
        <v>4.5</v>
      </c>
      <c r="H55" s="14" t="s">
        <v>429</v>
      </c>
      <c r="I55" s="14" t="s">
        <v>492</v>
      </c>
      <c r="J55" s="5" t="n">
        <v>50</v>
      </c>
      <c r="K55" s="5" t="n">
        <v>0</v>
      </c>
      <c r="L55" s="14" t="s">
        <v>669</v>
      </c>
      <c r="M55" s="3" t="n">
        <f aca="false">IF(ISNUMBER(E55),ROUND(E55*$F$2,0),"—")</f>
        <v>1035</v>
      </c>
      <c r="N55" s="3" t="n">
        <f aca="false">IF(ISNUMBER(E55),ROUND(E55*$H$2,0),"—")</f>
        <v>1170</v>
      </c>
      <c r="O55" s="3" t="n">
        <f aca="false">IF(ISNUMBER(E55),ROUND(E55*$J$2,0),"—")</f>
        <v>1305</v>
      </c>
      <c r="P55" s="3" t="n">
        <f aca="false">ROUND(J55*$L$2,0)</f>
        <v>63</v>
      </c>
    </row>
    <row r="56" customFormat="false" ht="15" hidden="false" customHeight="true" outlineLevel="0" collapsed="false">
      <c r="A56" s="3" t="n">
        <v>43</v>
      </c>
      <c r="B56" s="3" t="s">
        <v>670</v>
      </c>
      <c r="C56" s="3" t="s">
        <v>639</v>
      </c>
      <c r="D56" s="3" t="s">
        <v>501</v>
      </c>
      <c r="E56" s="5" t="n">
        <v>80</v>
      </c>
      <c r="F56" s="14" t="s">
        <v>134</v>
      </c>
      <c r="G56" s="5" t="n">
        <v>5</v>
      </c>
      <c r="H56" s="14" t="s">
        <v>671</v>
      </c>
      <c r="I56" s="14" t="s">
        <v>672</v>
      </c>
      <c r="J56" s="5" t="n">
        <v>18</v>
      </c>
      <c r="K56" s="5" t="n">
        <v>0</v>
      </c>
      <c r="L56" s="14" t="s">
        <v>673</v>
      </c>
      <c r="M56" s="3" t="n">
        <f aca="false">IF(ISNUMBER(E56),ROUND(E56*$F$2,0),"—")</f>
        <v>92</v>
      </c>
      <c r="N56" s="3" t="n">
        <f aca="false">IF(ISNUMBER(E56),ROUND(E56*$H$2,0),"—")</f>
        <v>104</v>
      </c>
      <c r="O56" s="3" t="n">
        <f aca="false">IF(ISNUMBER(E56),ROUND(E56*$J$2,0),"—")</f>
        <v>116</v>
      </c>
      <c r="P56" s="3" t="n">
        <f aca="false">ROUND(J56*$L$2,0)</f>
        <v>23</v>
      </c>
    </row>
    <row r="57" customFormat="false" ht="15" hidden="false" customHeight="true" outlineLevel="0" collapsed="false">
      <c r="A57" s="3" t="n">
        <v>54</v>
      </c>
      <c r="B57" s="3" t="s">
        <v>674</v>
      </c>
      <c r="C57" s="3" t="s">
        <v>639</v>
      </c>
      <c r="D57" s="3" t="s">
        <v>501</v>
      </c>
      <c r="E57" s="5" t="n">
        <v>100</v>
      </c>
      <c r="F57" s="14" t="s">
        <v>134</v>
      </c>
      <c r="G57" s="5" t="n">
        <v>1.5</v>
      </c>
      <c r="H57" s="14" t="s">
        <v>675</v>
      </c>
      <c r="I57" s="14" t="s">
        <v>676</v>
      </c>
      <c r="J57" s="5" t="n">
        <v>0</v>
      </c>
      <c r="K57" s="5" t="n">
        <v>15</v>
      </c>
      <c r="L57" s="14" t="s">
        <v>677</v>
      </c>
      <c r="M57" s="3" t="n">
        <f aca="false">IF(ISNUMBER(E57),ROUND(E57*$F$2,0),"—")</f>
        <v>115</v>
      </c>
      <c r="N57" s="3" t="n">
        <f aca="false">IF(ISNUMBER(E57),ROUND(E57*$H$2,0),"—")</f>
        <v>130</v>
      </c>
      <c r="O57" s="3" t="n">
        <f aca="false">IF(ISNUMBER(E57),ROUND(E57*$J$2,0),"—")</f>
        <v>145</v>
      </c>
      <c r="P57" s="3" t="n">
        <f aca="false">ROUND(J57*$L$2,0)</f>
        <v>0</v>
      </c>
    </row>
    <row r="58" customFormat="false" ht="15" hidden="false" customHeight="true" outlineLevel="0" collapsed="false">
      <c r="A58" s="3"/>
      <c r="B58" s="3" t="s">
        <v>678</v>
      </c>
      <c r="C58" s="3" t="s">
        <v>679</v>
      </c>
      <c r="D58" s="3" t="s">
        <v>501</v>
      </c>
      <c r="E58" s="5" t="n">
        <v>100</v>
      </c>
      <c r="F58" s="14" t="s">
        <v>585</v>
      </c>
      <c r="G58" s="5" t="n">
        <v>9</v>
      </c>
      <c r="H58" s="14" t="s">
        <v>671</v>
      </c>
      <c r="I58" s="14" t="s">
        <v>680</v>
      </c>
      <c r="J58" s="5" t="n">
        <v>30</v>
      </c>
      <c r="K58" s="5" t="n">
        <v>0</v>
      </c>
      <c r="L58" s="14" t="s">
        <v>681</v>
      </c>
      <c r="M58" s="3" t="n">
        <f aca="false">IF(ISNUMBER(E58),ROUND(E58*$F$2,0),"—")</f>
        <v>115</v>
      </c>
      <c r="N58" s="3" t="n">
        <f aca="false">IF(ISNUMBER(E58),ROUND(E58*$H$2,0),"—")</f>
        <v>130</v>
      </c>
      <c r="O58" s="3" t="n">
        <f aca="false">IF(ISNUMBER(E58),ROUND(E58*$J$2,0),"—")</f>
        <v>145</v>
      </c>
      <c r="P58" s="3" t="n">
        <f aca="false">ROUND(J58*$L$2,0)</f>
        <v>38</v>
      </c>
    </row>
    <row r="59" customFormat="false" ht="26.25" hidden="false" customHeight="true" outlineLevel="0" collapsed="false">
      <c r="A59" s="3"/>
      <c r="B59" s="3" t="s">
        <v>682</v>
      </c>
      <c r="C59" s="3" t="s">
        <v>679</v>
      </c>
      <c r="D59" s="3" t="s">
        <v>501</v>
      </c>
      <c r="E59" s="5" t="n">
        <v>120</v>
      </c>
      <c r="F59" s="14" t="s">
        <v>134</v>
      </c>
      <c r="G59" s="5" t="n">
        <v>6</v>
      </c>
      <c r="H59" s="14" t="s">
        <v>588</v>
      </c>
      <c r="I59" s="14" t="s">
        <v>535</v>
      </c>
      <c r="J59" s="5" t="n">
        <v>15</v>
      </c>
      <c r="K59" s="5" t="n">
        <v>0</v>
      </c>
      <c r="L59" s="14" t="s">
        <v>683</v>
      </c>
      <c r="M59" s="3" t="n">
        <f aca="false">IF(ISNUMBER(E59),ROUND(E59*$F$2,0),"—")</f>
        <v>138</v>
      </c>
      <c r="N59" s="3" t="n">
        <f aca="false">IF(ISNUMBER(E59),ROUND(E59*$H$2,0),"—")</f>
        <v>156</v>
      </c>
      <c r="O59" s="3" t="n">
        <f aca="false">IF(ISNUMBER(E59),ROUND(E59*$J$2,0),"—")</f>
        <v>174</v>
      </c>
      <c r="P59" s="3" t="n">
        <f aca="false">ROUND(J59*$L$2,0)</f>
        <v>19</v>
      </c>
    </row>
    <row r="60" customFormat="false" ht="15" hidden="false" customHeight="true" outlineLevel="0" collapsed="false">
      <c r="A60" s="3"/>
      <c r="B60" s="3" t="s">
        <v>684</v>
      </c>
      <c r="C60" s="3" t="s">
        <v>679</v>
      </c>
      <c r="D60" s="3" t="s">
        <v>484</v>
      </c>
      <c r="E60" s="5" t="n">
        <v>900</v>
      </c>
      <c r="F60" s="14" t="s">
        <v>544</v>
      </c>
      <c r="G60" s="5" t="n">
        <v>5</v>
      </c>
      <c r="H60" s="14" t="s">
        <v>685</v>
      </c>
      <c r="I60" s="14" t="s">
        <v>544</v>
      </c>
      <c r="J60" s="5" t="n">
        <v>60</v>
      </c>
      <c r="K60" s="5" t="n">
        <v>0</v>
      </c>
      <c r="L60" s="14" t="s">
        <v>686</v>
      </c>
      <c r="M60" s="3" t="n">
        <f aca="false">IF(ISNUMBER(E60),ROUND(E60*$F$2,0),"—")</f>
        <v>1035</v>
      </c>
      <c r="N60" s="3" t="n">
        <f aca="false">IF(ISNUMBER(E60),ROUND(E60*$H$2,0),"—")</f>
        <v>1170</v>
      </c>
      <c r="O60" s="3" t="n">
        <f aca="false">IF(ISNUMBER(E60),ROUND(E60*$J$2,0),"—")</f>
        <v>1305</v>
      </c>
      <c r="P60" s="3" t="n">
        <f aca="false">ROUND(J60*$L$2,0)</f>
        <v>75</v>
      </c>
    </row>
    <row r="61" customFormat="false" ht="26.25" hidden="false" customHeight="true" outlineLevel="0" collapsed="false">
      <c r="A61" s="3"/>
      <c r="B61" s="3" t="s">
        <v>687</v>
      </c>
      <c r="C61" s="3" t="s">
        <v>679</v>
      </c>
      <c r="D61" s="3" t="s">
        <v>484</v>
      </c>
      <c r="E61" s="5" t="n">
        <v>700</v>
      </c>
      <c r="F61" s="14" t="s">
        <v>505</v>
      </c>
      <c r="G61" s="5" t="n">
        <v>6.5</v>
      </c>
      <c r="H61" s="14" t="s">
        <v>620</v>
      </c>
      <c r="I61" s="14" t="s">
        <v>513</v>
      </c>
      <c r="J61" s="5" t="n">
        <v>50</v>
      </c>
      <c r="K61" s="5" t="n">
        <v>0</v>
      </c>
      <c r="L61" s="14" t="s">
        <v>688</v>
      </c>
      <c r="M61" s="3" t="n">
        <f aca="false">IF(ISNUMBER(E61),ROUND(E61*$F$2,0),"—")</f>
        <v>805</v>
      </c>
      <c r="N61" s="3" t="n">
        <f aca="false">IF(ISNUMBER(E61),ROUND(E61*$H$2,0),"—")</f>
        <v>910</v>
      </c>
      <c r="O61" s="3" t="n">
        <f aca="false">IF(ISNUMBER(E61),ROUND(E61*$J$2,0),"—")</f>
        <v>1015</v>
      </c>
      <c r="P61" s="3" t="n">
        <f aca="false">ROUND(J61*$L$2,0)</f>
        <v>63</v>
      </c>
    </row>
    <row r="62" customFormat="false" ht="15" hidden="false" customHeight="true" outlineLevel="0" collapsed="false">
      <c r="A62" s="3"/>
      <c r="B62" s="3" t="s">
        <v>689</v>
      </c>
      <c r="C62" s="3" t="s">
        <v>679</v>
      </c>
      <c r="D62" s="3" t="s">
        <v>495</v>
      </c>
      <c r="E62" s="5" t="n">
        <v>3800</v>
      </c>
      <c r="F62" s="14" t="s">
        <v>508</v>
      </c>
      <c r="G62" s="5" t="n">
        <v>3</v>
      </c>
      <c r="H62" s="14" t="s">
        <v>497</v>
      </c>
      <c r="I62" s="14" t="s">
        <v>582</v>
      </c>
      <c r="J62" s="5" t="n">
        <v>180</v>
      </c>
      <c r="K62" s="5" t="n">
        <v>20</v>
      </c>
      <c r="L62" s="14" t="s">
        <v>690</v>
      </c>
      <c r="M62" s="3" t="n">
        <f aca="false">IF(ISNUMBER(E62),ROUND(E62*$F$2,0),"—")</f>
        <v>4370</v>
      </c>
      <c r="N62" s="3" t="n">
        <f aca="false">IF(ISNUMBER(E62),ROUND(E62*$H$2,0),"—")</f>
        <v>4940</v>
      </c>
      <c r="O62" s="3" t="n">
        <f aca="false">IF(ISNUMBER(E62),ROUND(E62*$J$2,0),"—")</f>
        <v>5510</v>
      </c>
      <c r="P62" s="3" t="n">
        <f aca="false">ROUND(J62*$L$2,0)</f>
        <v>225</v>
      </c>
    </row>
    <row r="63" customFormat="false" ht="15" hidden="false" customHeight="true" outlineLevel="0" collapsed="false">
      <c r="A63" s="3"/>
      <c r="B63" s="3" t="s">
        <v>691</v>
      </c>
      <c r="C63" s="3" t="s">
        <v>679</v>
      </c>
      <c r="D63" s="3" t="s">
        <v>495</v>
      </c>
      <c r="E63" s="5" t="n">
        <v>3000</v>
      </c>
      <c r="F63" s="14" t="s">
        <v>692</v>
      </c>
      <c r="G63" s="5" t="n">
        <v>4.5</v>
      </c>
      <c r="H63" s="14" t="s">
        <v>693</v>
      </c>
      <c r="I63" s="14" t="s">
        <v>498</v>
      </c>
      <c r="J63" s="5" t="n">
        <v>160</v>
      </c>
      <c r="K63" s="5" t="n">
        <v>20</v>
      </c>
      <c r="L63" s="14" t="s">
        <v>694</v>
      </c>
      <c r="M63" s="3" t="n">
        <f aca="false">IF(ISNUMBER(E63),ROUND(E63*$F$2,0),"—")</f>
        <v>3450</v>
      </c>
      <c r="N63" s="3" t="n">
        <f aca="false">IF(ISNUMBER(E63),ROUND(E63*$H$2,0),"—")</f>
        <v>3900</v>
      </c>
      <c r="O63" s="3" t="n">
        <f aca="false">IF(ISNUMBER(E63),ROUND(E63*$J$2,0),"—")</f>
        <v>4350</v>
      </c>
      <c r="P63" s="3" t="n">
        <f aca="false">ROUND(J63*$L$2,0)</f>
        <v>200</v>
      </c>
    </row>
    <row r="64" customFormat="false" ht="51.75" hidden="false" customHeight="true" outlineLevel="0" collapsed="false">
      <c r="A64" s="3"/>
      <c r="B64" s="3" t="s">
        <v>695</v>
      </c>
      <c r="C64" s="3" t="s">
        <v>679</v>
      </c>
      <c r="D64" s="3" t="s">
        <v>696</v>
      </c>
      <c r="E64" s="3" t="s">
        <v>697</v>
      </c>
      <c r="F64" s="14" t="s">
        <v>698</v>
      </c>
      <c r="G64" s="5" t="n">
        <v>3</v>
      </c>
      <c r="H64" s="14" t="s">
        <v>497</v>
      </c>
      <c r="I64" s="14" t="s">
        <v>699</v>
      </c>
      <c r="J64" s="5" t="n">
        <v>800</v>
      </c>
      <c r="K64" s="5" t="n">
        <v>200</v>
      </c>
      <c r="L64" s="14" t="s">
        <v>700</v>
      </c>
      <c r="M64" s="3" t="str">
        <f aca="false">IF(ISNUMBER(E64),ROUND(E64*$F$2,0),"—")</f>
        <v>—</v>
      </c>
      <c r="N64" s="3" t="str">
        <f aca="false">IF(ISNUMBER(E64),ROUND(E64*$H$2,0),"—")</f>
        <v>—</v>
      </c>
      <c r="O64" s="3" t="str">
        <f aca="false">IF(ISNUMBER(E64),ROUND(E64*$J$2,0),"—")</f>
        <v>—</v>
      </c>
      <c r="P64" s="3" t="n">
        <f aca="false">ROUND(J64*$L$2,0)</f>
        <v>1000</v>
      </c>
    </row>
    <row r="65" customFormat="false" ht="1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customFormat="false" ht="15" hidden="false" customHeight="true" outlineLevel="0" collapsed="false">
      <c r="A66" s="8"/>
      <c r="B66" s="4" t="s">
        <v>701</v>
      </c>
      <c r="C66" s="8"/>
      <c r="D66" s="8"/>
      <c r="E66" s="3" t="n">
        <f aca="false">COUNT(A4:A64)</f>
        <v>54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customFormat="false" ht="15" hidden="false" customHeight="true" outlineLevel="0" collapsed="false">
      <c r="A67" s="8"/>
      <c r="B67" s="3" t="s">
        <v>702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2"/>
    <col collapsed="false" customWidth="true" hidden="false" outlineLevel="0" max="6" min="6" style="1" width="34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2" t="s">
        <v>703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</row>
    <row r="3" customFormat="false" ht="26.25" hidden="false" customHeight="true" outlineLevel="0" collapsed="false">
      <c r="A3" s="9" t="s">
        <v>704</v>
      </c>
      <c r="B3" s="9" t="s">
        <v>705</v>
      </c>
      <c r="C3" s="9" t="s">
        <v>706</v>
      </c>
      <c r="D3" s="9" t="s">
        <v>707</v>
      </c>
      <c r="E3" s="8"/>
      <c r="F3" s="4" t="s">
        <v>708</v>
      </c>
      <c r="G3" s="8"/>
      <c r="H3" s="8"/>
      <c r="I3" s="8"/>
      <c r="J3" s="8"/>
    </row>
    <row r="4" customFormat="false" ht="15" hidden="false" customHeight="true" outlineLevel="0" collapsed="false">
      <c r="A4" s="3" t="s">
        <v>709</v>
      </c>
      <c r="B4" s="5" t="n">
        <v>450</v>
      </c>
      <c r="C4" s="3" t="s">
        <v>710</v>
      </c>
      <c r="D4" s="3" t="s">
        <v>711</v>
      </c>
      <c r="E4" s="8"/>
      <c r="F4" s="3" t="s">
        <v>712</v>
      </c>
      <c r="G4" s="5" t="n">
        <v>320</v>
      </c>
      <c r="H4" s="8"/>
      <c r="I4" s="8"/>
      <c r="J4" s="8"/>
    </row>
    <row r="5" customFormat="false" ht="15" hidden="false" customHeight="true" outlineLevel="0" collapsed="false">
      <c r="A5" s="3" t="s">
        <v>713</v>
      </c>
      <c r="B5" s="5" t="n">
        <v>30</v>
      </c>
      <c r="C5" s="3" t="s">
        <v>714</v>
      </c>
      <c r="D5" s="3" t="s">
        <v>711</v>
      </c>
      <c r="E5" s="8"/>
      <c r="F5" s="3" t="s">
        <v>715</v>
      </c>
      <c r="G5" s="5" t="n">
        <v>1</v>
      </c>
      <c r="H5" s="8"/>
      <c r="I5" s="8"/>
      <c r="J5" s="8"/>
    </row>
    <row r="6" customFormat="false" ht="15" hidden="false" customHeight="true" outlineLevel="0" collapsed="false">
      <c r="A6" s="3" t="s">
        <v>716</v>
      </c>
      <c r="B6" s="5" t="n">
        <v>600</v>
      </c>
      <c r="C6" s="3" t="s">
        <v>710</v>
      </c>
      <c r="D6" s="3" t="s">
        <v>711</v>
      </c>
      <c r="E6" s="8"/>
      <c r="F6" s="3" t="s">
        <v>717</v>
      </c>
      <c r="G6" s="12" t="n">
        <f aca="false">MIN($B$16,INT(MIN(G4,$B$4)/100)*$B$15)</f>
        <v>0.3</v>
      </c>
      <c r="H6" s="8"/>
      <c r="I6" s="8"/>
      <c r="J6" s="8"/>
    </row>
    <row r="7" customFormat="false" ht="15" hidden="false" customHeight="true" outlineLevel="0" collapsed="false">
      <c r="A7" s="3" t="s">
        <v>718</v>
      </c>
      <c r="B7" s="13" t="n">
        <v>0.5</v>
      </c>
      <c r="C7" s="3" t="s">
        <v>719</v>
      </c>
      <c r="D7" s="3" t="s">
        <v>711</v>
      </c>
      <c r="E7" s="8"/>
      <c r="F7" s="3" t="s">
        <v>720</v>
      </c>
      <c r="G7" s="3" t="n">
        <f aca="false">ROUND(MIN(G4,$B$4)*(1+G6+G5*$B$17),0)</f>
        <v>448</v>
      </c>
      <c r="H7" s="8"/>
      <c r="I7" s="8"/>
      <c r="J7" s="8"/>
    </row>
    <row r="8" customFormat="false" ht="15" hidden="false" customHeight="true" outlineLevel="0" collapsed="false">
      <c r="A8" s="3" t="s">
        <v>721</v>
      </c>
      <c r="B8" s="13" t="n">
        <v>0.3</v>
      </c>
      <c r="C8" s="3" t="s">
        <v>722</v>
      </c>
      <c r="D8" s="3" t="s">
        <v>711</v>
      </c>
      <c r="E8" s="8"/>
      <c r="F8" s="3" t="s">
        <v>723</v>
      </c>
      <c r="G8" s="3" t="n">
        <f aca="false">ROUND(MIN(G4,$B$4)*$B$18,0)</f>
        <v>224</v>
      </c>
      <c r="H8" s="8"/>
      <c r="I8" s="8"/>
      <c r="J8" s="8"/>
    </row>
    <row r="9" customFormat="false" ht="15" hidden="false" customHeight="true" outlineLevel="0" collapsed="false">
      <c r="A9" s="3" t="s">
        <v>724</v>
      </c>
      <c r="B9" s="10" t="n">
        <v>1.2</v>
      </c>
      <c r="C9" s="3" t="s">
        <v>725</v>
      </c>
      <c r="D9" s="3" t="s">
        <v>711</v>
      </c>
      <c r="E9" s="8"/>
      <c r="F9" s="3" t="s">
        <v>726</v>
      </c>
      <c r="G9" s="8"/>
      <c r="H9" s="8"/>
      <c r="I9" s="8"/>
      <c r="J9" s="8"/>
    </row>
    <row r="10" customFormat="false" ht="15" hidden="false" customHeight="true" outlineLevel="0" collapsed="false">
      <c r="A10" s="3" t="s">
        <v>727</v>
      </c>
      <c r="B10" s="13" t="n">
        <v>0.15</v>
      </c>
      <c r="C10" s="3" t="s">
        <v>719</v>
      </c>
      <c r="D10" s="3" t="s">
        <v>711</v>
      </c>
      <c r="E10" s="8"/>
      <c r="F10" s="8"/>
      <c r="G10" s="8"/>
      <c r="H10" s="8"/>
      <c r="I10" s="8"/>
      <c r="J10" s="8"/>
    </row>
    <row r="11" customFormat="false" ht="15" hidden="false" customHeight="true" outlineLevel="0" collapsed="false">
      <c r="A11" s="3" t="s">
        <v>728</v>
      </c>
      <c r="B11" s="10" t="n">
        <v>15</v>
      </c>
      <c r="C11" s="3" t="s">
        <v>714</v>
      </c>
      <c r="D11" s="3" t="s">
        <v>729</v>
      </c>
      <c r="E11" s="8"/>
      <c r="F11" s="4" t="s">
        <v>730</v>
      </c>
      <c r="G11" s="8"/>
      <c r="H11" s="8"/>
      <c r="I11" s="8"/>
      <c r="J11" s="8"/>
    </row>
    <row r="12" customFormat="false" ht="15" hidden="false" customHeight="true" outlineLevel="0" collapsed="false">
      <c r="A12" s="3" t="s">
        <v>731</v>
      </c>
      <c r="B12" s="5" t="n">
        <v>12</v>
      </c>
      <c r="C12" s="3" t="s">
        <v>714</v>
      </c>
      <c r="D12" s="3" t="s">
        <v>729</v>
      </c>
      <c r="E12" s="8"/>
      <c r="F12" s="4" t="s">
        <v>732</v>
      </c>
      <c r="G12" s="4" t="s">
        <v>733</v>
      </c>
      <c r="H12" s="4" t="s">
        <v>734</v>
      </c>
      <c r="I12" s="4" t="s">
        <v>735</v>
      </c>
      <c r="J12" s="8"/>
    </row>
    <row r="13" customFormat="false" ht="15" hidden="false" customHeight="true" outlineLevel="0" collapsed="false">
      <c r="A13" s="3" t="s">
        <v>736</v>
      </c>
      <c r="B13" s="5" t="n">
        <v>9</v>
      </c>
      <c r="C13" s="3" t="s">
        <v>714</v>
      </c>
      <c r="D13" s="3" t="s">
        <v>729</v>
      </c>
      <c r="E13" s="8"/>
      <c r="F13" s="13" t="n">
        <v>0.3</v>
      </c>
      <c r="G13" s="3" t="n">
        <f aca="false">ROUND($B$9*F13,2)</f>
        <v>0.36</v>
      </c>
      <c r="H13" s="3" t="n">
        <f aca="false">ROUND(G13*1080,0)</f>
        <v>389</v>
      </c>
      <c r="I13" s="3" t="n">
        <f aca="false">ROUND(H13*(1-$B$10),0)</f>
        <v>331</v>
      </c>
      <c r="J13" s="8"/>
    </row>
    <row r="14" customFormat="false" ht="15" hidden="false" customHeight="true" outlineLevel="0" collapsed="false">
      <c r="A14" s="3" t="s">
        <v>737</v>
      </c>
      <c r="B14" s="5" t="n">
        <v>18</v>
      </c>
      <c r="C14" s="3" t="s">
        <v>714</v>
      </c>
      <c r="D14" s="3" t="s">
        <v>729</v>
      </c>
      <c r="E14" s="8"/>
      <c r="F14" s="13" t="n">
        <v>0.4</v>
      </c>
      <c r="G14" s="3" t="n">
        <f aca="false">ROUND($B$9*F14,2)</f>
        <v>0.48</v>
      </c>
      <c r="H14" s="3" t="n">
        <f aca="false">ROUND(G14*1080,0)</f>
        <v>518</v>
      </c>
      <c r="I14" s="3" t="n">
        <f aca="false">ROUND(H14*(1-$B$10),0)</f>
        <v>440</v>
      </c>
      <c r="J14" s="8"/>
    </row>
    <row r="15" customFormat="false" ht="15" hidden="false" customHeight="true" outlineLevel="0" collapsed="false">
      <c r="A15" s="3" t="s">
        <v>738</v>
      </c>
      <c r="B15" s="17" t="n">
        <v>0.1</v>
      </c>
      <c r="C15" s="3" t="s">
        <v>719</v>
      </c>
      <c r="D15" s="3" t="s">
        <v>729</v>
      </c>
      <c r="E15" s="8"/>
      <c r="F15" s="13" t="n">
        <v>0.5</v>
      </c>
      <c r="G15" s="3" t="n">
        <f aca="false">ROUND($B$9*F15,2)</f>
        <v>0.6</v>
      </c>
      <c r="H15" s="3" t="n">
        <f aca="false">ROUND(G15*1080,0)</f>
        <v>648</v>
      </c>
      <c r="I15" s="3" t="n">
        <f aca="false">ROUND(H15*(1-$B$10),0)</f>
        <v>551</v>
      </c>
      <c r="J15" s="8"/>
    </row>
    <row r="16" customFormat="false" ht="15" hidden="false" customHeight="true" outlineLevel="0" collapsed="false">
      <c r="A16" s="3" t="s">
        <v>739</v>
      </c>
      <c r="B16" s="13" t="n">
        <v>0.3</v>
      </c>
      <c r="C16" s="3" t="s">
        <v>719</v>
      </c>
      <c r="D16" s="3" t="s">
        <v>729</v>
      </c>
      <c r="E16" s="8"/>
      <c r="F16" s="13" t="n">
        <v>0.6</v>
      </c>
      <c r="G16" s="3" t="n">
        <f aca="false">ROUND($B$9*F16,2)</f>
        <v>0.72</v>
      </c>
      <c r="H16" s="3" t="n">
        <f aca="false">ROUND(G16*1080,0)</f>
        <v>778</v>
      </c>
      <c r="I16" s="3" t="n">
        <f aca="false">ROUND(H16*(1-$B$10),0)</f>
        <v>661</v>
      </c>
      <c r="J16" s="8"/>
    </row>
    <row r="17" customFormat="false" ht="15" hidden="false" customHeight="true" outlineLevel="0" collapsed="false">
      <c r="A17" s="3" t="s">
        <v>740</v>
      </c>
      <c r="B17" s="13" t="n">
        <v>0.1</v>
      </c>
      <c r="C17" s="3" t="s">
        <v>719</v>
      </c>
      <c r="D17" s="3" t="s">
        <v>729</v>
      </c>
      <c r="E17" s="8"/>
      <c r="F17" s="13" t="n">
        <v>0.7</v>
      </c>
      <c r="G17" s="3" t="n">
        <f aca="false">ROUND($B$9*F17,2)</f>
        <v>0.84</v>
      </c>
      <c r="H17" s="3" t="n">
        <f aca="false">ROUND(G17*1080,0)</f>
        <v>907</v>
      </c>
      <c r="I17" s="3" t="n">
        <f aca="false">ROUND(H17*(1-$B$10),0)</f>
        <v>771</v>
      </c>
      <c r="J17" s="8"/>
    </row>
    <row r="18" customFormat="false" ht="15" hidden="false" customHeight="true" outlineLevel="0" collapsed="false">
      <c r="A18" s="3" t="s">
        <v>741</v>
      </c>
      <c r="B18" s="13" t="n">
        <v>0.7</v>
      </c>
      <c r="C18" s="3" t="s">
        <v>719</v>
      </c>
      <c r="D18" s="3" t="s">
        <v>729</v>
      </c>
      <c r="E18" s="8"/>
      <c r="F18" s="13" t="n">
        <v>0.8</v>
      </c>
      <c r="G18" s="3" t="n">
        <f aca="false">ROUND($B$9*F18,2)</f>
        <v>0.96</v>
      </c>
      <c r="H18" s="3" t="n">
        <f aca="false">ROUND(G18*1080,0)</f>
        <v>1037</v>
      </c>
      <c r="I18" s="3" t="n">
        <f aca="false">ROUND(H18*(1-$B$10),0)</f>
        <v>881</v>
      </c>
      <c r="J18" s="8"/>
    </row>
    <row r="19" customFormat="false" ht="15" hidden="false" customHeight="true" outlineLevel="0" collapsed="false">
      <c r="A19" s="3" t="s">
        <v>742</v>
      </c>
      <c r="B19" s="5" t="n">
        <v>2</v>
      </c>
      <c r="C19" s="3" t="s">
        <v>710</v>
      </c>
      <c r="D19" s="3" t="s">
        <v>729</v>
      </c>
      <c r="E19" s="8"/>
      <c r="F19" s="8"/>
      <c r="G19" s="8"/>
      <c r="H19" s="8"/>
      <c r="I19" s="8"/>
      <c r="J19" s="8"/>
    </row>
    <row r="20" customFormat="false" ht="15" hidden="false" customHeight="true" outlineLevel="0" collapsed="false">
      <c r="A20" s="3" t="s">
        <v>743</v>
      </c>
      <c r="B20" s="5" t="n">
        <v>240</v>
      </c>
      <c r="C20" s="3" t="s">
        <v>744</v>
      </c>
      <c r="D20" s="3" t="s">
        <v>745</v>
      </c>
      <c r="E20" s="8"/>
      <c r="F20" s="4" t="s">
        <v>746</v>
      </c>
      <c r="G20" s="8"/>
      <c r="H20" s="8"/>
      <c r="I20" s="8"/>
      <c r="J20" s="8"/>
    </row>
    <row r="21" customFormat="false" ht="15" hidden="false" customHeight="true" outlineLevel="0" collapsed="false">
      <c r="A21" s="3" t="s">
        <v>747</v>
      </c>
      <c r="B21" s="5" t="n">
        <v>3</v>
      </c>
      <c r="C21" s="3" t="s">
        <v>748</v>
      </c>
      <c r="D21" s="3" t="s">
        <v>745</v>
      </c>
      <c r="E21" s="8"/>
      <c r="F21" s="4" t="s">
        <v>88</v>
      </c>
      <c r="G21" s="4" t="s">
        <v>749</v>
      </c>
      <c r="H21" s="4" t="s">
        <v>750</v>
      </c>
      <c r="I21" s="4" t="s">
        <v>751</v>
      </c>
      <c r="J21" s="4" t="s">
        <v>752</v>
      </c>
    </row>
    <row r="22" customFormat="false" ht="15" hidden="false" customHeight="true" outlineLevel="0" collapsed="false">
      <c r="A22" s="3" t="s">
        <v>753</v>
      </c>
      <c r="B22" s="13" t="n">
        <v>0.8</v>
      </c>
      <c r="C22" s="3" t="s">
        <v>719</v>
      </c>
      <c r="D22" s="3" t="s">
        <v>745</v>
      </c>
      <c r="E22" s="8"/>
      <c r="F22" s="3" t="n">
        <v>0</v>
      </c>
      <c r="G22" s="3" t="n">
        <f aca="false">$B$29*F22</f>
        <v>0</v>
      </c>
      <c r="H22" s="11" t="n">
        <f aca="false">0</f>
        <v>0</v>
      </c>
      <c r="I22" s="11" t="n">
        <f aca="false">$B$31+$B$32*F22</f>
        <v>6000</v>
      </c>
      <c r="J22" s="12" t="n">
        <f aca="false">MIN(0.75,$B$33*F22)</f>
        <v>0</v>
      </c>
    </row>
    <row r="23" customFormat="false" ht="15" hidden="false" customHeight="true" outlineLevel="0" collapsed="false">
      <c r="A23" s="3" t="s">
        <v>754</v>
      </c>
      <c r="B23" s="5" t="n">
        <v>60</v>
      </c>
      <c r="C23" s="3" t="s">
        <v>714</v>
      </c>
      <c r="D23" s="3" t="s">
        <v>745</v>
      </c>
      <c r="E23" s="8"/>
      <c r="F23" s="3" t="n">
        <v>1</v>
      </c>
      <c r="G23" s="3" t="n">
        <f aca="false">$B$29*F23</f>
        <v>100</v>
      </c>
      <c r="H23" s="11" t="n">
        <f aca="false">H22+G23</f>
        <v>100</v>
      </c>
      <c r="I23" s="11" t="n">
        <f aca="false">$B$31+$B$32*F23</f>
        <v>6400</v>
      </c>
      <c r="J23" s="12" t="n">
        <f aca="false">MIN(0.75,$B$33*F23)</f>
        <v>0.05</v>
      </c>
    </row>
    <row r="24" customFormat="false" ht="15" hidden="false" customHeight="true" outlineLevel="0" collapsed="false">
      <c r="A24" s="3" t="s">
        <v>755</v>
      </c>
      <c r="B24" s="5" t="n">
        <v>20</v>
      </c>
      <c r="C24" s="3" t="s">
        <v>756</v>
      </c>
      <c r="D24" s="3" t="s">
        <v>745</v>
      </c>
      <c r="E24" s="8"/>
      <c r="F24" s="3" t="n">
        <v>2</v>
      </c>
      <c r="G24" s="3" t="n">
        <f aca="false">$B$29*F24</f>
        <v>200</v>
      </c>
      <c r="H24" s="11" t="n">
        <f aca="false">H23+G24</f>
        <v>300</v>
      </c>
      <c r="I24" s="11" t="n">
        <f aca="false">$B$31+$B$32*F24</f>
        <v>6800</v>
      </c>
      <c r="J24" s="12" t="n">
        <f aca="false">MIN(0.75,$B$33*F24)</f>
        <v>0.1</v>
      </c>
    </row>
    <row r="25" customFormat="false" ht="15" hidden="false" customHeight="true" outlineLevel="0" collapsed="false">
      <c r="A25" s="3" t="s">
        <v>757</v>
      </c>
      <c r="B25" s="5" t="n">
        <v>4</v>
      </c>
      <c r="C25" s="3" t="s">
        <v>714</v>
      </c>
      <c r="D25" s="3" t="s">
        <v>745</v>
      </c>
      <c r="E25" s="8"/>
      <c r="F25" s="3" t="n">
        <v>3</v>
      </c>
      <c r="G25" s="3" t="n">
        <f aca="false">$B$29*F25</f>
        <v>300</v>
      </c>
      <c r="H25" s="11" t="n">
        <f aca="false">H24+G25</f>
        <v>600</v>
      </c>
      <c r="I25" s="11" t="n">
        <f aca="false">$B$31+$B$32*F25</f>
        <v>7200</v>
      </c>
      <c r="J25" s="12" t="n">
        <f aca="false">MIN(0.75,$B$33*F25)</f>
        <v>0.15</v>
      </c>
    </row>
    <row r="26" customFormat="false" ht="15" hidden="false" customHeight="true" outlineLevel="0" collapsed="false">
      <c r="A26" s="3" t="s">
        <v>758</v>
      </c>
      <c r="B26" s="5" t="n">
        <v>2</v>
      </c>
      <c r="C26" s="3" t="s">
        <v>714</v>
      </c>
      <c r="D26" s="3" t="s">
        <v>745</v>
      </c>
      <c r="E26" s="8"/>
      <c r="F26" s="3" t="n">
        <v>4</v>
      </c>
      <c r="G26" s="3" t="n">
        <f aca="false">$B$29*F26</f>
        <v>400</v>
      </c>
      <c r="H26" s="11" t="n">
        <f aca="false">H25+G26</f>
        <v>1000</v>
      </c>
      <c r="I26" s="11" t="n">
        <f aca="false">$B$31+$B$32*F26</f>
        <v>7600</v>
      </c>
      <c r="J26" s="12" t="n">
        <f aca="false">MIN(0.75,$B$33*F26)</f>
        <v>0.2</v>
      </c>
    </row>
    <row r="27" customFormat="false" ht="15" hidden="false" customHeight="true" outlineLevel="0" collapsed="false">
      <c r="A27" s="3" t="s">
        <v>759</v>
      </c>
      <c r="B27" s="5" t="n">
        <v>1</v>
      </c>
      <c r="C27" s="3" t="s">
        <v>760</v>
      </c>
      <c r="D27" s="3" t="s">
        <v>761</v>
      </c>
      <c r="E27" s="8"/>
      <c r="F27" s="3" t="n">
        <v>5</v>
      </c>
      <c r="G27" s="3" t="n">
        <f aca="false">$B$29*F27</f>
        <v>500</v>
      </c>
      <c r="H27" s="11" t="n">
        <f aca="false">H26+G27</f>
        <v>1500</v>
      </c>
      <c r="I27" s="11" t="n">
        <f aca="false">$B$31+$B$32*F27</f>
        <v>8000</v>
      </c>
      <c r="J27" s="12" t="n">
        <f aca="false">MIN(0.75,$B$33*F27)</f>
        <v>0.25</v>
      </c>
    </row>
    <row r="28" customFormat="false" ht="15" hidden="false" customHeight="true" outlineLevel="0" collapsed="false">
      <c r="A28" s="3" t="s">
        <v>762</v>
      </c>
      <c r="B28" s="13" t="n">
        <v>0.15</v>
      </c>
      <c r="C28" s="3" t="s">
        <v>719</v>
      </c>
      <c r="D28" s="3" t="s">
        <v>761</v>
      </c>
      <c r="E28" s="8"/>
      <c r="F28" s="3" t="n">
        <v>6</v>
      </c>
      <c r="G28" s="3" t="n">
        <f aca="false">$B$29*F28</f>
        <v>600</v>
      </c>
      <c r="H28" s="11" t="n">
        <f aca="false">H27+G28</f>
        <v>2100</v>
      </c>
      <c r="I28" s="11" t="n">
        <f aca="false">$B$31+$B$32*F28</f>
        <v>8400</v>
      </c>
      <c r="J28" s="12" t="n">
        <f aca="false">MIN(0.75,$B$33*F28)</f>
        <v>0.3</v>
      </c>
    </row>
    <row r="29" customFormat="false" ht="15" hidden="false" customHeight="true" outlineLevel="0" collapsed="false">
      <c r="A29" s="3" t="s">
        <v>763</v>
      </c>
      <c r="B29" s="10" t="n">
        <v>100</v>
      </c>
      <c r="C29" s="3" t="s">
        <v>764</v>
      </c>
      <c r="D29" s="3" t="s">
        <v>761</v>
      </c>
      <c r="E29" s="8"/>
      <c r="F29" s="3" t="n">
        <v>7</v>
      </c>
      <c r="G29" s="3" t="n">
        <f aca="false">$B$29*F29</f>
        <v>700</v>
      </c>
      <c r="H29" s="11" t="n">
        <f aca="false">H28+G29</f>
        <v>2800</v>
      </c>
      <c r="I29" s="11" t="n">
        <f aca="false">$B$31+$B$32*F29</f>
        <v>8800</v>
      </c>
      <c r="J29" s="12" t="n">
        <f aca="false">MIN(0.75,$B$33*F29)</f>
        <v>0.35</v>
      </c>
    </row>
    <row r="30" customFormat="false" ht="15" hidden="false" customHeight="true" outlineLevel="0" collapsed="false">
      <c r="A30" s="3" t="s">
        <v>765</v>
      </c>
      <c r="B30" s="17" t="n">
        <v>0.5</v>
      </c>
      <c r="C30" s="3" t="s">
        <v>719</v>
      </c>
      <c r="D30" s="3" t="s">
        <v>766</v>
      </c>
      <c r="E30" s="8"/>
      <c r="F30" s="3" t="n">
        <v>8</v>
      </c>
      <c r="G30" s="3" t="n">
        <f aca="false">$B$29*F30</f>
        <v>800</v>
      </c>
      <c r="H30" s="11" t="n">
        <f aca="false">H29+G30</f>
        <v>3600</v>
      </c>
      <c r="I30" s="11" t="n">
        <f aca="false">$B$31+$B$32*F30</f>
        <v>9200</v>
      </c>
      <c r="J30" s="12" t="n">
        <f aca="false">MIN(0.75,$B$33*F30)</f>
        <v>0.4</v>
      </c>
    </row>
    <row r="31" customFormat="false" ht="15" hidden="false" customHeight="true" outlineLevel="0" collapsed="false">
      <c r="A31" s="3" t="s">
        <v>767</v>
      </c>
      <c r="B31" s="5" t="n">
        <v>6000</v>
      </c>
      <c r="C31" s="3" t="s">
        <v>49</v>
      </c>
      <c r="D31" s="3" t="s">
        <v>766</v>
      </c>
      <c r="E31" s="8"/>
      <c r="F31" s="3" t="n">
        <v>9</v>
      </c>
      <c r="G31" s="3" t="n">
        <f aca="false">$B$29*F31</f>
        <v>900</v>
      </c>
      <c r="H31" s="11" t="n">
        <f aca="false">H30+G31</f>
        <v>4500</v>
      </c>
      <c r="I31" s="11" t="n">
        <f aca="false">$B$31+$B$32*F31</f>
        <v>9600</v>
      </c>
      <c r="J31" s="12" t="n">
        <f aca="false">MIN(0.75,$B$33*F31)</f>
        <v>0.45</v>
      </c>
    </row>
    <row r="32" customFormat="false" ht="15" hidden="false" customHeight="true" outlineLevel="0" collapsed="false">
      <c r="A32" s="3" t="s">
        <v>768</v>
      </c>
      <c r="B32" s="5" t="n">
        <v>400</v>
      </c>
      <c r="C32" s="3" t="s">
        <v>49</v>
      </c>
      <c r="D32" s="3" t="s">
        <v>766</v>
      </c>
      <c r="E32" s="8"/>
      <c r="F32" s="3" t="n">
        <v>10</v>
      </c>
      <c r="G32" s="3" t="n">
        <f aca="false">$B$29*F32</f>
        <v>1000</v>
      </c>
      <c r="H32" s="11" t="n">
        <f aca="false">H31+G32</f>
        <v>5500</v>
      </c>
      <c r="I32" s="11" t="n">
        <f aca="false">$B$31+$B$32*F32</f>
        <v>10000</v>
      </c>
      <c r="J32" s="12" t="n">
        <f aca="false">MIN(0.75,$B$33*F32)</f>
        <v>0.5</v>
      </c>
    </row>
    <row r="33" customFormat="false" ht="15" hidden="false" customHeight="true" outlineLevel="0" collapsed="false">
      <c r="A33" s="3" t="s">
        <v>769</v>
      </c>
      <c r="B33" s="13" t="n">
        <v>0.05</v>
      </c>
      <c r="C33" s="3" t="s">
        <v>719</v>
      </c>
      <c r="D33" s="3" t="s">
        <v>766</v>
      </c>
      <c r="E33" s="8"/>
      <c r="F33" s="8"/>
      <c r="G33" s="8"/>
      <c r="H33" s="8"/>
      <c r="I33" s="8"/>
      <c r="J33" s="8"/>
    </row>
    <row r="34" customFormat="false" ht="15" hidden="false" customHeight="true" outlineLevel="0" collapsed="false">
      <c r="A34" s="3" t="s">
        <v>770</v>
      </c>
      <c r="B34" s="13" t="n">
        <v>0.66</v>
      </c>
      <c r="C34" s="3" t="s">
        <v>771</v>
      </c>
      <c r="D34" s="3" t="s">
        <v>766</v>
      </c>
      <c r="E34" s="8"/>
      <c r="F34" s="4" t="s">
        <v>772</v>
      </c>
      <c r="G34" s="8"/>
      <c r="H34" s="8"/>
      <c r="I34" s="8"/>
      <c r="J34" s="8"/>
    </row>
    <row r="35" customFormat="false" ht="15" hidden="false" customHeight="true" outlineLevel="0" collapsed="false">
      <c r="A35" s="3" t="s">
        <v>773</v>
      </c>
      <c r="B35" s="5" t="n">
        <v>5000</v>
      </c>
      <c r="C35" s="3" t="s">
        <v>49</v>
      </c>
      <c r="D35" s="3" t="s">
        <v>766</v>
      </c>
      <c r="E35" s="8"/>
      <c r="F35" s="3" t="s">
        <v>774</v>
      </c>
      <c r="G35" s="5" t="n">
        <v>4</v>
      </c>
      <c r="H35" s="8"/>
      <c r="I35" s="8"/>
      <c r="J35" s="8"/>
    </row>
    <row r="36" customFormat="false" ht="15" hidden="false" customHeight="true" outlineLevel="0" collapsed="false">
      <c r="A36" s="3" t="s">
        <v>775</v>
      </c>
      <c r="B36" s="5" t="n">
        <v>900</v>
      </c>
      <c r="C36" s="3" t="s">
        <v>710</v>
      </c>
      <c r="D36" s="3" t="s">
        <v>766</v>
      </c>
      <c r="E36" s="8"/>
      <c r="F36" s="3" t="s">
        <v>776</v>
      </c>
      <c r="G36" s="5" t="n">
        <v>260</v>
      </c>
      <c r="H36" s="8"/>
      <c r="I36" s="8"/>
      <c r="J36" s="8"/>
    </row>
    <row r="37" customFormat="false" ht="15" hidden="false" customHeight="true" outlineLevel="0" collapsed="false">
      <c r="A37" s="3" t="s">
        <v>777</v>
      </c>
      <c r="B37" s="5" t="n">
        <v>240</v>
      </c>
      <c r="C37" s="3" t="s">
        <v>714</v>
      </c>
      <c r="D37" s="3" t="s">
        <v>766</v>
      </c>
      <c r="E37" s="8"/>
      <c r="F37" s="3" t="s">
        <v>778</v>
      </c>
      <c r="G37" s="3" t="n">
        <f aca="false">G35*G36*$B$30</f>
        <v>520</v>
      </c>
      <c r="H37" s="8"/>
      <c r="I37" s="8"/>
      <c r="J37" s="8"/>
    </row>
    <row r="38" customFormat="false" ht="15" hidden="false" customHeight="true" outlineLevel="0" collapsed="false">
      <c r="A38" s="3" t="s">
        <v>779</v>
      </c>
      <c r="B38" s="5" t="n">
        <v>12000</v>
      </c>
      <c r="C38" s="3" t="s">
        <v>49</v>
      </c>
      <c r="D38" s="3" t="s">
        <v>766</v>
      </c>
      <c r="E38" s="8"/>
      <c r="F38" s="3" t="s">
        <v>780</v>
      </c>
      <c r="G38" s="3" t="n">
        <f aca="false">ROUND($B$31*(1-$B$34)/G37,1)</f>
        <v>3.9</v>
      </c>
      <c r="H38" s="8"/>
      <c r="I38" s="8"/>
      <c r="J38" s="8"/>
    </row>
    <row r="39" customFormat="false" ht="15" hidden="false" customHeight="true" outlineLevel="0" collapsed="false">
      <c r="A39" s="3" t="s">
        <v>781</v>
      </c>
      <c r="B39" s="5" t="n">
        <v>90</v>
      </c>
      <c r="C39" s="3" t="s">
        <v>714</v>
      </c>
      <c r="D39" s="3" t="s">
        <v>782</v>
      </c>
      <c r="E39" s="8"/>
      <c r="F39" s="3" t="s">
        <v>783</v>
      </c>
      <c r="G39" s="3" t="n">
        <f aca="false">ROUND(I32*(1-$B$34)/G37,1)</f>
        <v>6.5</v>
      </c>
      <c r="H39" s="8"/>
      <c r="I39" s="8"/>
      <c r="J39" s="8"/>
    </row>
    <row r="40" customFormat="false" ht="15" hidden="false" customHeight="true" outlineLevel="0" collapsed="false">
      <c r="A40" s="3" t="s">
        <v>784</v>
      </c>
      <c r="B40" s="5" t="n">
        <v>60</v>
      </c>
      <c r="C40" s="3" t="s">
        <v>714</v>
      </c>
      <c r="D40" s="3" t="s">
        <v>782</v>
      </c>
      <c r="E40" s="8"/>
      <c r="F40" s="3" t="s">
        <v>785</v>
      </c>
      <c r="G40" s="3" t="n">
        <f aca="false">ROUND($B$35/G37,1)</f>
        <v>9.6</v>
      </c>
      <c r="H40" s="8"/>
      <c r="I40" s="8"/>
      <c r="J40" s="8"/>
    </row>
    <row r="41" customFormat="false" ht="15" hidden="false" customHeight="true" outlineLevel="0" collapsed="false">
      <c r="A41" s="3" t="s">
        <v>786</v>
      </c>
      <c r="B41" s="17" t="n">
        <v>0.6</v>
      </c>
      <c r="C41" s="3" t="s">
        <v>719</v>
      </c>
      <c r="D41" s="3" t="s">
        <v>782</v>
      </c>
      <c r="E41" s="8"/>
      <c r="F41" s="3" t="s">
        <v>787</v>
      </c>
      <c r="G41" s="3" t="n">
        <f aca="false">ROUND($B$38/G37,1)</f>
        <v>23.1</v>
      </c>
      <c r="H41" s="8"/>
      <c r="I41" s="8"/>
      <c r="J41" s="8"/>
    </row>
    <row r="42" customFormat="false" ht="15" hidden="false" customHeight="true" outlineLevel="0" collapsed="false">
      <c r="A42" s="3" t="s">
        <v>788</v>
      </c>
      <c r="B42" s="13" t="n">
        <v>0.05</v>
      </c>
      <c r="C42" s="3" t="s">
        <v>719</v>
      </c>
      <c r="D42" s="3" t="s">
        <v>782</v>
      </c>
      <c r="E42" s="8"/>
      <c r="F42" s="8"/>
      <c r="G42" s="8"/>
      <c r="H42" s="8"/>
      <c r="I42" s="8"/>
      <c r="J42" s="8"/>
    </row>
    <row r="43" customFormat="false" ht="15" hidden="false" customHeight="true" outlineLevel="0" collapsed="false">
      <c r="A43" s="3" t="s">
        <v>789</v>
      </c>
      <c r="B43" s="5" t="n">
        <v>1500</v>
      </c>
      <c r="C43" s="3" t="s">
        <v>714</v>
      </c>
      <c r="D43" s="3" t="s">
        <v>790</v>
      </c>
      <c r="E43" s="8"/>
      <c r="F43" s="4" t="s">
        <v>791</v>
      </c>
      <c r="G43" s="8"/>
      <c r="H43" s="8"/>
      <c r="I43" s="8"/>
      <c r="J43" s="8"/>
    </row>
    <row r="44" customFormat="false" ht="15" hidden="false" customHeight="true" outlineLevel="0" collapsed="false">
      <c r="A44" s="3" t="s">
        <v>792</v>
      </c>
      <c r="B44" s="5" t="n">
        <v>120</v>
      </c>
      <c r="C44" s="3" t="s">
        <v>714</v>
      </c>
      <c r="D44" s="3" t="s">
        <v>790</v>
      </c>
      <c r="E44" s="8"/>
      <c r="F44" s="3" t="s">
        <v>793</v>
      </c>
      <c r="G44" s="5" t="n">
        <v>108</v>
      </c>
      <c r="H44" s="8"/>
      <c r="I44" s="8"/>
      <c r="J44" s="8"/>
    </row>
    <row r="45" customFormat="false" ht="15" hidden="false" customHeight="true" outlineLevel="0" collapsed="false">
      <c r="A45" s="8"/>
      <c r="B45" s="8"/>
      <c r="C45" s="8"/>
      <c r="D45" s="8"/>
      <c r="E45" s="8"/>
      <c r="F45" s="3" t="s">
        <v>794</v>
      </c>
      <c r="G45" s="5" t="n">
        <v>2</v>
      </c>
      <c r="H45" s="8"/>
      <c r="I45" s="8"/>
      <c r="J45" s="8"/>
    </row>
    <row r="46" customFormat="false" ht="15" hidden="false" customHeight="true" outlineLevel="0" collapsed="false">
      <c r="A46" s="18" t="s">
        <v>795</v>
      </c>
      <c r="B46" s="18"/>
      <c r="C46" s="18"/>
      <c r="D46" s="18"/>
      <c r="E46" s="8"/>
      <c r="F46" s="3" t="s">
        <v>732</v>
      </c>
      <c r="G46" s="19" t="n">
        <f aca="false">MIN(1,G44/$B$20+G45*$B$21/100)</f>
        <v>0.51</v>
      </c>
      <c r="H46" s="8"/>
      <c r="I46" s="8"/>
      <c r="J46" s="8"/>
    </row>
    <row r="47" customFormat="false" ht="15" hidden="false" customHeight="true" outlineLevel="0" collapsed="false">
      <c r="A47" s="3" t="s">
        <v>796</v>
      </c>
      <c r="B47" s="5" t="n">
        <v>45</v>
      </c>
      <c r="C47" s="3" t="s">
        <v>714</v>
      </c>
      <c r="D47" s="3" t="s">
        <v>797</v>
      </c>
      <c r="E47" s="8"/>
      <c r="F47" s="3" t="s">
        <v>798</v>
      </c>
      <c r="G47" s="5" t="n">
        <v>20</v>
      </c>
      <c r="H47" s="8"/>
      <c r="I47" s="8"/>
      <c r="J47" s="8"/>
    </row>
    <row r="48" customFormat="false" ht="15" hidden="false" customHeight="true" outlineLevel="0" collapsed="false">
      <c r="A48" s="3" t="s">
        <v>799</v>
      </c>
      <c r="B48" s="5" t="n">
        <v>2</v>
      </c>
      <c r="C48" s="3" t="s">
        <v>719</v>
      </c>
      <c r="D48" s="3" t="s">
        <v>800</v>
      </c>
      <c r="E48" s="8"/>
      <c r="F48" s="3" t="s">
        <v>801</v>
      </c>
      <c r="G48" s="19" t="n">
        <f aca="false">MAX(0,G47-15)/5*MAX(0,G46*100-50)/5/100</f>
        <v>0.002</v>
      </c>
      <c r="H48" s="8"/>
      <c r="I48" s="8"/>
      <c r="J48" s="8"/>
    </row>
    <row r="49" customFormat="false" ht="15" hidden="false" customHeight="true" outlineLevel="0" collapsed="false">
      <c r="A49" s="3" t="s">
        <v>802</v>
      </c>
      <c r="B49" s="5" t="n">
        <v>6</v>
      </c>
      <c r="C49" s="3" t="s">
        <v>714</v>
      </c>
      <c r="D49" s="3" t="s">
        <v>803</v>
      </c>
      <c r="E49" s="8"/>
      <c r="F49" s="3" t="s">
        <v>804</v>
      </c>
      <c r="G49" s="3" t="n">
        <f aca="false">ROUND(G44*$B$27*60*(1+G45*$B$28),0)</f>
        <v>8424</v>
      </c>
      <c r="H49" s="8"/>
      <c r="I49" s="8"/>
      <c r="J49" s="8"/>
    </row>
    <row r="50" customFormat="false" ht="15" hidden="false" customHeight="true" outlineLevel="0" collapsed="false">
      <c r="A50" s="3" t="s">
        <v>805</v>
      </c>
      <c r="B50" s="5" t="n">
        <v>1</v>
      </c>
      <c r="C50" s="3" t="s">
        <v>714</v>
      </c>
      <c r="D50" s="3" t="s">
        <v>803</v>
      </c>
    </row>
    <row r="51" customFormat="false" ht="15" hidden="false" customHeight="true" outlineLevel="0" collapsed="false">
      <c r="A51" s="3" t="s">
        <v>806</v>
      </c>
      <c r="B51" s="5" t="n">
        <v>0.25</v>
      </c>
      <c r="C51" s="3" t="s">
        <v>719</v>
      </c>
      <c r="D51" s="3" t="s">
        <v>803</v>
      </c>
    </row>
    <row r="52" customFormat="false" ht="15" hidden="false" customHeight="true" outlineLevel="0" collapsed="false">
      <c r="A52" s="3" t="s">
        <v>807</v>
      </c>
      <c r="B52" s="5" t="n">
        <v>0.5</v>
      </c>
      <c r="C52" s="3" t="s">
        <v>719</v>
      </c>
      <c r="D52" s="3" t="s">
        <v>803</v>
      </c>
    </row>
    <row r="53" customFormat="false" ht="15" hidden="false" customHeight="true" outlineLevel="0" collapsed="false">
      <c r="A53" s="3" t="s">
        <v>808</v>
      </c>
      <c r="B53" s="5" t="n">
        <v>15</v>
      </c>
      <c r="C53" s="3" t="s">
        <v>809</v>
      </c>
      <c r="D53" s="3" t="s">
        <v>810</v>
      </c>
    </row>
    <row r="54" customFormat="false" ht="15" hidden="false" customHeight="true" outlineLevel="0" collapsed="false">
      <c r="A54" s="3" t="s">
        <v>811</v>
      </c>
      <c r="B54" s="5" t="n">
        <v>20</v>
      </c>
      <c r="C54" s="3" t="s">
        <v>714</v>
      </c>
      <c r="D54" s="3" t="s">
        <v>810</v>
      </c>
    </row>
    <row r="55" customFormat="false" ht="15" hidden="false" customHeight="true" outlineLevel="0" collapsed="false">
      <c r="A55" s="3" t="s">
        <v>812</v>
      </c>
      <c r="B55" s="5" t="n">
        <v>1.5</v>
      </c>
      <c r="C55" s="3" t="s">
        <v>714</v>
      </c>
      <c r="D55" s="3" t="s">
        <v>810</v>
      </c>
    </row>
    <row r="56" customFormat="false" ht="15" hidden="false" customHeight="true" outlineLevel="0" collapsed="false">
      <c r="A56" s="3" t="s">
        <v>813</v>
      </c>
      <c r="B56" s="5" t="n">
        <v>360</v>
      </c>
      <c r="C56" s="3" t="s">
        <v>714</v>
      </c>
      <c r="D56" s="3" t="s">
        <v>800</v>
      </c>
    </row>
    <row r="57" customFormat="false" ht="15" hidden="false" customHeight="true" outlineLevel="0" collapsed="false">
      <c r="A57" s="3" t="s">
        <v>814</v>
      </c>
      <c r="B57" s="5" t="n">
        <v>60</v>
      </c>
      <c r="C57" s="3" t="s">
        <v>714</v>
      </c>
      <c r="D57" s="3" t="s">
        <v>800</v>
      </c>
    </row>
    <row r="58" customFormat="false" ht="15" hidden="false" customHeight="true" outlineLevel="0" collapsed="false">
      <c r="A58" s="3" t="s">
        <v>815</v>
      </c>
      <c r="B58" s="5" t="n">
        <v>40</v>
      </c>
      <c r="C58" s="3" t="s">
        <v>816</v>
      </c>
      <c r="D58" s="3" t="s">
        <v>800</v>
      </c>
    </row>
    <row r="59" customFormat="false" ht="15" hidden="false" customHeight="true" outlineLevel="0" collapsed="false">
      <c r="A59" s="3" t="s">
        <v>817</v>
      </c>
      <c r="B59" s="5" t="n">
        <v>0.03</v>
      </c>
      <c r="C59" s="3" t="s">
        <v>818</v>
      </c>
      <c r="D59" s="3" t="s">
        <v>819</v>
      </c>
    </row>
    <row r="60" customFormat="false" ht="15" hidden="false" customHeight="true" outlineLevel="0" collapsed="false">
      <c r="A60" s="3" t="s">
        <v>820</v>
      </c>
      <c r="B60" s="5" t="n">
        <v>8</v>
      </c>
      <c r="C60" s="3" t="s">
        <v>809</v>
      </c>
      <c r="D60" s="3" t="s">
        <v>819</v>
      </c>
    </row>
    <row r="61" customFormat="false" ht="15" hidden="false" customHeight="true" outlineLevel="0" collapsed="false">
      <c r="A61" s="3" t="s">
        <v>821</v>
      </c>
      <c r="B61" s="5" t="n">
        <v>4</v>
      </c>
      <c r="C61" s="3" t="s">
        <v>822</v>
      </c>
      <c r="D61" s="3" t="s">
        <v>819</v>
      </c>
    </row>
    <row r="62" customFormat="false" ht="15" hidden="false" customHeight="true" outlineLevel="0" collapsed="false">
      <c r="A62" s="3" t="s">
        <v>823</v>
      </c>
      <c r="B62" s="5" t="n">
        <v>0.6</v>
      </c>
      <c r="C62" s="3" t="s">
        <v>714</v>
      </c>
      <c r="D62" s="3" t="s">
        <v>824</v>
      </c>
    </row>
    <row r="63" customFormat="false" ht="15" hidden="false" customHeight="true" outlineLevel="0" collapsed="false">
      <c r="A63" s="3" t="s">
        <v>825</v>
      </c>
      <c r="B63" s="5" t="n">
        <v>0.35</v>
      </c>
      <c r="C63" s="3" t="s">
        <v>714</v>
      </c>
      <c r="D63" s="3" t="s">
        <v>824</v>
      </c>
    </row>
    <row r="64" customFormat="false" ht="15" hidden="false" customHeight="true" outlineLevel="0" collapsed="false">
      <c r="A64" s="3" t="s">
        <v>826</v>
      </c>
      <c r="B64" s="5" t="n">
        <v>0.2</v>
      </c>
      <c r="C64" s="3" t="s">
        <v>714</v>
      </c>
      <c r="D64" s="3" t="s">
        <v>824</v>
      </c>
    </row>
    <row r="65" customFormat="false" ht="15" hidden="false" customHeight="true" outlineLevel="0" collapsed="false">
      <c r="A65" s="3" t="s">
        <v>827</v>
      </c>
      <c r="B65" s="5" t="n">
        <v>25</v>
      </c>
      <c r="C65" s="3" t="s">
        <v>828</v>
      </c>
      <c r="D65" s="3" t="s">
        <v>824</v>
      </c>
    </row>
    <row r="66" customFormat="false" ht="15" hidden="false" customHeight="true" outlineLevel="0" collapsed="false">
      <c r="A66" s="3" t="s">
        <v>829</v>
      </c>
      <c r="B66" s="5" t="n">
        <v>12</v>
      </c>
      <c r="C66" s="3" t="s">
        <v>828</v>
      </c>
      <c r="D66" s="3" t="s">
        <v>824</v>
      </c>
    </row>
    <row r="67" customFormat="false" ht="15" hidden="false" customHeight="true" outlineLevel="0" collapsed="false">
      <c r="A67" s="3" t="s">
        <v>830</v>
      </c>
      <c r="B67" s="5" t="n">
        <v>5</v>
      </c>
      <c r="C67" s="3" t="s">
        <v>828</v>
      </c>
      <c r="D67" s="3" t="s">
        <v>824</v>
      </c>
    </row>
    <row r="68" customFormat="false" ht="15" hidden="false" customHeight="true" outlineLevel="0" collapsed="false">
      <c r="A68" s="3" t="s">
        <v>831</v>
      </c>
      <c r="B68" s="5" t="n">
        <v>120</v>
      </c>
      <c r="C68" s="3" t="s">
        <v>710</v>
      </c>
      <c r="D68" s="3" t="s">
        <v>824</v>
      </c>
    </row>
    <row r="69" customFormat="false" ht="15" hidden="false" customHeight="true" outlineLevel="0" collapsed="false">
      <c r="A69" s="3" t="s">
        <v>832</v>
      </c>
      <c r="B69" s="5" t="n">
        <v>200</v>
      </c>
      <c r="C69" s="3" t="s">
        <v>710</v>
      </c>
      <c r="D69" s="3" t="s">
        <v>824</v>
      </c>
    </row>
    <row r="70" customFormat="false" ht="15" hidden="false" customHeight="true" outlineLevel="0" collapsed="false">
      <c r="A70" s="3" t="s">
        <v>833</v>
      </c>
      <c r="B70" s="5" t="n">
        <v>180</v>
      </c>
      <c r="C70" s="3" t="s">
        <v>710</v>
      </c>
      <c r="D70" s="3" t="s">
        <v>824</v>
      </c>
    </row>
    <row r="71" customFormat="false" ht="15" hidden="false" customHeight="true" outlineLevel="0" collapsed="false">
      <c r="A71" s="3" t="s">
        <v>834</v>
      </c>
      <c r="B71" s="5" t="n">
        <v>340</v>
      </c>
      <c r="C71" s="3" t="s">
        <v>710</v>
      </c>
      <c r="D71" s="3" t="s">
        <v>824</v>
      </c>
    </row>
    <row r="72" customFormat="false" ht="15" hidden="false" customHeight="true" outlineLevel="0" collapsed="false">
      <c r="A72" s="3" t="s">
        <v>835</v>
      </c>
      <c r="B72" s="5" t="n">
        <v>160</v>
      </c>
      <c r="C72" s="3" t="s">
        <v>710</v>
      </c>
      <c r="D72" s="3" t="s">
        <v>824</v>
      </c>
    </row>
    <row r="73" customFormat="false" ht="15" hidden="false" customHeight="true" outlineLevel="0" collapsed="false">
      <c r="A73" s="3" t="s">
        <v>836</v>
      </c>
      <c r="B73" s="5" t="n">
        <v>300</v>
      </c>
      <c r="C73" s="3" t="s">
        <v>710</v>
      </c>
      <c r="D73" s="3" t="s">
        <v>824</v>
      </c>
    </row>
    <row r="74" customFormat="false" ht="15" hidden="false" customHeight="false" outlineLevel="0" collapsed="false">
      <c r="A74" s="3" t="s">
        <v>837</v>
      </c>
      <c r="B74" s="5" t="n">
        <v>12</v>
      </c>
      <c r="C74" s="3" t="s">
        <v>809</v>
      </c>
      <c r="D74" s="3" t="s">
        <v>838</v>
      </c>
    </row>
    <row r="75" customFormat="false" ht="15" hidden="false" customHeight="false" outlineLevel="0" collapsed="false">
      <c r="A75" s="3" t="s">
        <v>839</v>
      </c>
      <c r="B75" s="5" t="n">
        <v>1</v>
      </c>
      <c r="C75" s="3" t="s">
        <v>714</v>
      </c>
      <c r="D75" s="3" t="s">
        <v>803</v>
      </c>
    </row>
    <row r="76" customFormat="false" ht="15" hidden="false" customHeight="false" outlineLevel="0" collapsed="false">
      <c r="A76" s="3" t="s">
        <v>840</v>
      </c>
      <c r="B76" s="5" t="n">
        <v>10</v>
      </c>
      <c r="C76" s="3" t="s">
        <v>714</v>
      </c>
      <c r="D76" s="3" t="s">
        <v>797</v>
      </c>
    </row>
    <row r="77" customFormat="false" ht="15" hidden="false" customHeight="false" outlineLevel="0" collapsed="false">
      <c r="A77" s="3" t="s">
        <v>841</v>
      </c>
      <c r="B77" s="5" t="n">
        <v>0.4</v>
      </c>
      <c r="C77" s="3" t="s">
        <v>719</v>
      </c>
      <c r="D77" s="3" t="s">
        <v>810</v>
      </c>
    </row>
    <row r="78" customFormat="false" ht="15" hidden="false" customHeight="false" outlineLevel="0" collapsed="false">
      <c r="A78" s="3" t="s">
        <v>842</v>
      </c>
      <c r="B78" s="5" t="n">
        <v>2</v>
      </c>
      <c r="C78" s="3" t="s">
        <v>714</v>
      </c>
      <c r="D78" s="3" t="s">
        <v>810</v>
      </c>
    </row>
    <row r="79" customFormat="false" ht="15" hidden="false" customHeight="false" outlineLevel="0" collapsed="false">
      <c r="A79" s="3" t="s">
        <v>843</v>
      </c>
      <c r="B79" s="5" t="n">
        <v>1</v>
      </c>
      <c r="C79" s="3" t="s">
        <v>714</v>
      </c>
      <c r="D79" s="3" t="s">
        <v>810</v>
      </c>
    </row>
    <row r="80" customFormat="false" ht="15" hidden="false" customHeight="false" outlineLevel="0" collapsed="false">
      <c r="A80" s="3" t="s">
        <v>844</v>
      </c>
      <c r="B80" s="5" t="n">
        <v>30</v>
      </c>
      <c r="C80" s="3" t="s">
        <v>845</v>
      </c>
      <c r="D80" s="3" t="s">
        <v>810</v>
      </c>
    </row>
    <row r="81" customFormat="false" ht="15" hidden="false" customHeight="false" outlineLevel="0" collapsed="false">
      <c r="A81" s="3" t="s">
        <v>846</v>
      </c>
      <c r="B81" s="5" t="n">
        <v>0.3</v>
      </c>
      <c r="C81" s="3" t="s">
        <v>719</v>
      </c>
      <c r="D81" s="3" t="s">
        <v>810</v>
      </c>
    </row>
    <row r="82" customFormat="false" ht="15" hidden="false" customHeight="false" outlineLevel="0" collapsed="false">
      <c r="A82" s="3" t="s">
        <v>847</v>
      </c>
      <c r="B82" s="5" t="n">
        <v>0.5</v>
      </c>
      <c r="C82" s="3" t="s">
        <v>719</v>
      </c>
      <c r="D82" s="3" t="s">
        <v>810</v>
      </c>
    </row>
    <row r="83" customFormat="false" ht="15" hidden="false" customHeight="false" outlineLevel="0" collapsed="false">
      <c r="A83" s="3" t="s">
        <v>848</v>
      </c>
      <c r="B83" s="5" t="n">
        <v>8</v>
      </c>
      <c r="C83" s="3" t="s">
        <v>809</v>
      </c>
      <c r="D83" s="3" t="s">
        <v>810</v>
      </c>
    </row>
    <row r="84" customFormat="false" ht="15" hidden="false" customHeight="false" outlineLevel="0" collapsed="false">
      <c r="A84" s="3" t="s">
        <v>849</v>
      </c>
      <c r="B84" s="5" t="n">
        <v>6</v>
      </c>
      <c r="C84" s="3" t="s">
        <v>714</v>
      </c>
      <c r="D84" s="3" t="s">
        <v>810</v>
      </c>
    </row>
    <row r="85" customFormat="false" ht="15" hidden="false" customHeight="false" outlineLevel="0" collapsed="false">
      <c r="A85" s="3" t="s">
        <v>850</v>
      </c>
      <c r="B85" s="5" t="n">
        <v>0.5</v>
      </c>
      <c r="C85" s="3" t="s">
        <v>719</v>
      </c>
      <c r="D85" s="3" t="s">
        <v>810</v>
      </c>
    </row>
    <row r="86" customFormat="false" ht="15" hidden="false" customHeight="false" outlineLevel="0" collapsed="false">
      <c r="A86" s="3" t="s">
        <v>851</v>
      </c>
      <c r="B86" s="5" t="n">
        <v>0.5</v>
      </c>
      <c r="C86" s="3" t="s">
        <v>719</v>
      </c>
      <c r="D86" s="3" t="s">
        <v>810</v>
      </c>
    </row>
    <row r="87" customFormat="false" ht="15" hidden="false" customHeight="false" outlineLevel="0" collapsed="false">
      <c r="A87" s="3" t="s">
        <v>852</v>
      </c>
      <c r="B87" s="5" t="n">
        <v>6</v>
      </c>
      <c r="C87" s="3" t="s">
        <v>714</v>
      </c>
      <c r="D87" s="3" t="s">
        <v>853</v>
      </c>
    </row>
    <row r="88" customFormat="false" ht="15" hidden="false" customHeight="false" outlineLevel="0" collapsed="false">
      <c r="A88" s="3" t="s">
        <v>854</v>
      </c>
      <c r="B88" s="5" t="n">
        <v>0.5</v>
      </c>
      <c r="C88" s="3" t="s">
        <v>719</v>
      </c>
      <c r="D88" s="3" t="s">
        <v>853</v>
      </c>
    </row>
    <row r="89" customFormat="false" ht="15" hidden="false" customHeight="false" outlineLevel="0" collapsed="false">
      <c r="A89" s="3" t="s">
        <v>855</v>
      </c>
      <c r="B89" s="5" t="n">
        <v>0.4</v>
      </c>
      <c r="C89" s="3" t="s">
        <v>719</v>
      </c>
      <c r="D89" s="3" t="s">
        <v>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70"/>
  </cols>
  <sheetData>
    <row r="1" customFormat="false" ht="17.25" hidden="false" customHeight="true" outlineLevel="0" collapsed="false">
      <c r="A1" s="2" t="s">
        <v>856</v>
      </c>
      <c r="B1" s="8"/>
      <c r="C1" s="8"/>
      <c r="D1" s="8"/>
      <c r="E1" s="8"/>
    </row>
    <row r="2" customFormat="false" ht="15" hidden="false" customHeight="true" outlineLevel="0" collapsed="false">
      <c r="A2" s="8"/>
      <c r="B2" s="8"/>
      <c r="C2" s="8"/>
      <c r="D2" s="8"/>
      <c r="E2" s="8"/>
    </row>
    <row r="3" customFormat="false" ht="15" hidden="false" customHeight="true" outlineLevel="0" collapsed="false">
      <c r="A3" s="9" t="s">
        <v>857</v>
      </c>
      <c r="B3" s="9" t="s">
        <v>705</v>
      </c>
      <c r="C3" s="9" t="s">
        <v>706</v>
      </c>
      <c r="D3" s="8"/>
      <c r="E3" s="8"/>
    </row>
    <row r="4" customFormat="false" ht="15" hidden="false" customHeight="true" outlineLevel="0" collapsed="false">
      <c r="A4" s="3" t="s">
        <v>858</v>
      </c>
      <c r="B4" s="5" t="n">
        <v>0.2</v>
      </c>
      <c r="C4" s="3" t="s">
        <v>859</v>
      </c>
      <c r="D4" s="8"/>
      <c r="E4" s="8"/>
    </row>
    <row r="5" customFormat="false" ht="15" hidden="false" customHeight="true" outlineLevel="0" collapsed="false">
      <c r="A5" s="3" t="s">
        <v>860</v>
      </c>
      <c r="B5" s="5" t="n">
        <v>1</v>
      </c>
      <c r="C5" s="3" t="s">
        <v>859</v>
      </c>
      <c r="D5" s="8"/>
      <c r="E5" s="8"/>
    </row>
    <row r="6" customFormat="false" ht="15" hidden="false" customHeight="true" outlineLevel="0" collapsed="false">
      <c r="A6" s="3" t="s">
        <v>861</v>
      </c>
      <c r="B6" s="5" t="n">
        <v>1.5</v>
      </c>
      <c r="C6" s="3" t="s">
        <v>862</v>
      </c>
      <c r="D6" s="8"/>
      <c r="E6" s="8"/>
    </row>
    <row r="7" customFormat="false" ht="15" hidden="false" customHeight="true" outlineLevel="0" collapsed="false">
      <c r="A7" s="3" t="s">
        <v>863</v>
      </c>
      <c r="B7" s="5" t="n">
        <v>2</v>
      </c>
      <c r="C7" s="3" t="s">
        <v>862</v>
      </c>
      <c r="D7" s="8"/>
      <c r="E7" s="8"/>
    </row>
    <row r="8" customFormat="false" ht="15" hidden="false" customHeight="true" outlineLevel="0" collapsed="false">
      <c r="A8" s="3" t="s">
        <v>864</v>
      </c>
      <c r="B8" s="5" t="n">
        <v>3</v>
      </c>
      <c r="C8" s="3" t="s">
        <v>865</v>
      </c>
      <c r="D8" s="8"/>
      <c r="E8" s="8"/>
    </row>
    <row r="9" customFormat="false" ht="15" hidden="false" customHeight="true" outlineLevel="0" collapsed="false">
      <c r="A9" s="3" t="s">
        <v>866</v>
      </c>
      <c r="B9" s="5" t="n">
        <v>-0.5</v>
      </c>
      <c r="C9" s="3" t="s">
        <v>859</v>
      </c>
      <c r="D9" s="8"/>
      <c r="E9" s="8"/>
    </row>
    <row r="10" customFormat="false" ht="15" hidden="false" customHeight="true" outlineLevel="0" collapsed="false">
      <c r="A10" s="3" t="s">
        <v>867</v>
      </c>
      <c r="B10" s="5" t="n">
        <v>100</v>
      </c>
      <c r="C10" s="3" t="s">
        <v>868</v>
      </c>
      <c r="D10" s="8"/>
      <c r="E10" s="8"/>
    </row>
    <row r="11" customFormat="false" ht="15" hidden="false" customHeight="true" outlineLevel="0" collapsed="false">
      <c r="A11" s="8"/>
      <c r="B11" s="8"/>
      <c r="C11" s="8"/>
      <c r="D11" s="8"/>
      <c r="E11" s="8"/>
    </row>
    <row r="12" customFormat="false" ht="15" hidden="false" customHeight="true" outlineLevel="0" collapsed="false">
      <c r="A12" s="4" t="s">
        <v>869</v>
      </c>
      <c r="B12" s="8"/>
      <c r="C12" s="8"/>
      <c r="D12" s="8"/>
      <c r="E12" s="8"/>
    </row>
    <row r="13" customFormat="false" ht="15" hidden="false" customHeight="true" outlineLevel="0" collapsed="false">
      <c r="A13" s="3" t="s">
        <v>870</v>
      </c>
      <c r="B13" s="3" t="n">
        <f aca="false">B4+B5*10/60</f>
        <v>0.366666666666667</v>
      </c>
      <c r="C13" s="8"/>
      <c r="D13" s="8"/>
      <c r="E13" s="8"/>
    </row>
    <row r="14" customFormat="false" ht="15" hidden="false" customHeight="true" outlineLevel="0" collapsed="false">
      <c r="A14" s="3" t="s">
        <v>871</v>
      </c>
      <c r="B14" s="3" t="n">
        <f aca="false">ROUND(B10/B13,0)</f>
        <v>273</v>
      </c>
      <c r="C14" s="8"/>
      <c r="D14" s="8"/>
      <c r="E14" s="8"/>
    </row>
    <row r="15" customFormat="false" ht="15" hidden="false" customHeight="true" outlineLevel="0" collapsed="false">
      <c r="A15" s="3" t="s">
        <v>872</v>
      </c>
      <c r="B15" s="3" t="n">
        <f aca="false">ROUND(B14/60,1)</f>
        <v>4.6</v>
      </c>
      <c r="C15" s="8"/>
      <c r="D15" s="8"/>
      <c r="E15" s="8"/>
    </row>
    <row r="16" customFormat="false" ht="15" hidden="false" customHeight="true" outlineLevel="0" collapsed="false">
      <c r="A16" s="8"/>
      <c r="B16" s="8"/>
      <c r="C16" s="8"/>
      <c r="D16" s="8"/>
      <c r="E16" s="8"/>
    </row>
    <row r="17" customFormat="false" ht="15" hidden="false" customHeight="true" outlineLevel="0" collapsed="false">
      <c r="A17" s="16" t="s">
        <v>873</v>
      </c>
      <c r="B17" s="16" t="s">
        <v>874</v>
      </c>
      <c r="C17" s="16" t="s">
        <v>875</v>
      </c>
      <c r="D17" s="16" t="s">
        <v>876</v>
      </c>
      <c r="E17" s="16" t="s">
        <v>111</v>
      </c>
    </row>
    <row r="18" customFormat="false" ht="15" hidden="false" customHeight="true" outlineLevel="0" collapsed="false">
      <c r="A18" s="3" t="s">
        <v>877</v>
      </c>
      <c r="B18" s="3" t="s">
        <v>878</v>
      </c>
      <c r="C18" s="13" t="n">
        <v>0.25</v>
      </c>
      <c r="D18" s="5" t="n">
        <v>30</v>
      </c>
      <c r="E18" s="14" t="s">
        <v>879</v>
      </c>
    </row>
    <row r="19" customFormat="false" ht="15" hidden="false" customHeight="true" outlineLevel="0" collapsed="false">
      <c r="A19" s="3" t="s">
        <v>877</v>
      </c>
      <c r="B19" s="3" t="s">
        <v>880</v>
      </c>
      <c r="C19" s="13" t="n">
        <v>0.2</v>
      </c>
      <c r="D19" s="5" t="n">
        <v>20</v>
      </c>
      <c r="E19" s="14" t="s">
        <v>881</v>
      </c>
    </row>
    <row r="20" customFormat="false" ht="15" hidden="false" customHeight="true" outlineLevel="0" collapsed="false">
      <c r="A20" s="3" t="s">
        <v>877</v>
      </c>
      <c r="B20" s="3" t="s">
        <v>882</v>
      </c>
      <c r="C20" s="13" t="n">
        <v>0.2</v>
      </c>
      <c r="D20" s="5" t="n">
        <v>30</v>
      </c>
      <c r="E20" s="14" t="s">
        <v>883</v>
      </c>
    </row>
    <row r="21" customFormat="false" ht="15" hidden="false" customHeight="true" outlineLevel="0" collapsed="false">
      <c r="A21" s="3" t="s">
        <v>877</v>
      </c>
      <c r="B21" s="3" t="s">
        <v>884</v>
      </c>
      <c r="C21" s="13" t="n">
        <v>0.2</v>
      </c>
      <c r="D21" s="5" t="n">
        <v>30</v>
      </c>
      <c r="E21" s="14" t="s">
        <v>885</v>
      </c>
    </row>
    <row r="22" customFormat="false" ht="15" hidden="false" customHeight="true" outlineLevel="0" collapsed="false">
      <c r="A22" s="3" t="s">
        <v>877</v>
      </c>
      <c r="B22" s="3" t="s">
        <v>886</v>
      </c>
      <c r="C22" s="13" t="n">
        <v>0.15</v>
      </c>
      <c r="D22" s="5" t="n">
        <v>30</v>
      </c>
      <c r="E22" s="14" t="s">
        <v>887</v>
      </c>
    </row>
    <row r="23" customFormat="false" ht="15" hidden="false" customHeight="true" outlineLevel="0" collapsed="false">
      <c r="A23" s="3" t="s">
        <v>888</v>
      </c>
      <c r="B23" s="3" t="s">
        <v>889</v>
      </c>
      <c r="C23" s="13" t="n">
        <v>0.4</v>
      </c>
      <c r="D23" s="5" t="n">
        <v>20</v>
      </c>
      <c r="E23" s="14" t="s">
        <v>890</v>
      </c>
    </row>
    <row r="24" customFormat="false" ht="15" hidden="false" customHeight="true" outlineLevel="0" collapsed="false">
      <c r="A24" s="3" t="s">
        <v>888</v>
      </c>
      <c r="B24" s="3" t="s">
        <v>891</v>
      </c>
      <c r="C24" s="13" t="n">
        <v>0.4</v>
      </c>
      <c r="D24" s="5" t="n">
        <v>15</v>
      </c>
      <c r="E24" s="14" t="s">
        <v>892</v>
      </c>
    </row>
    <row r="25" customFormat="false" ht="15" hidden="false" customHeight="true" outlineLevel="0" collapsed="false">
      <c r="A25" s="3" t="s">
        <v>888</v>
      </c>
      <c r="B25" s="3" t="s">
        <v>893</v>
      </c>
      <c r="C25" s="13" t="n">
        <v>0.2</v>
      </c>
      <c r="D25" s="5" t="n">
        <v>45</v>
      </c>
      <c r="E25" s="14" t="s">
        <v>894</v>
      </c>
    </row>
    <row r="26" customFormat="false" ht="15" hidden="false" customHeight="true" outlineLevel="0" collapsed="false">
      <c r="A26" s="3" t="s">
        <v>895</v>
      </c>
      <c r="B26" s="3" t="s">
        <v>896</v>
      </c>
      <c r="C26" s="13" t="n">
        <v>0.4</v>
      </c>
      <c r="D26" s="5" t="n">
        <v>15</v>
      </c>
      <c r="E26" s="14" t="s">
        <v>897</v>
      </c>
    </row>
    <row r="27" customFormat="false" ht="15" hidden="false" customHeight="true" outlineLevel="0" collapsed="false">
      <c r="A27" s="3" t="s">
        <v>895</v>
      </c>
      <c r="B27" s="3" t="s">
        <v>898</v>
      </c>
      <c r="C27" s="13" t="n">
        <v>0.4</v>
      </c>
      <c r="D27" s="5" t="n">
        <v>10</v>
      </c>
      <c r="E27" s="14" t="s">
        <v>899</v>
      </c>
    </row>
    <row r="28" customFormat="false" ht="15" hidden="false" customHeight="true" outlineLevel="0" collapsed="false">
      <c r="A28" s="3" t="s">
        <v>895</v>
      </c>
      <c r="B28" s="3" t="s">
        <v>900</v>
      </c>
      <c r="C28" s="13" t="n">
        <v>0.2</v>
      </c>
      <c r="D28" s="5" t="n">
        <v>45</v>
      </c>
      <c r="E28" s="14" t="s">
        <v>901</v>
      </c>
    </row>
    <row r="29" customFormat="false" ht="15" hidden="false" customHeight="true" outlineLevel="0" collapsed="false">
      <c r="A29" s="8"/>
      <c r="B29" s="8"/>
      <c r="C29" s="8"/>
      <c r="D29" s="8"/>
      <c r="E29" s="8"/>
    </row>
    <row r="30" customFormat="false" ht="15" hidden="false" customHeight="true" outlineLevel="0" collapsed="false">
      <c r="A30" s="4" t="s">
        <v>902</v>
      </c>
      <c r="B30" s="8"/>
      <c r="C30" s="8"/>
      <c r="D30" s="8"/>
      <c r="E30" s="8"/>
    </row>
    <row r="31" customFormat="false" ht="15" hidden="false" customHeight="true" outlineLevel="0" collapsed="false">
      <c r="A31" s="3" t="s">
        <v>877</v>
      </c>
      <c r="B31" s="8"/>
      <c r="C31" s="12" t="n">
        <f aca="false">SUMIF($A$18:$A$28,A31,$C$18:$C$28)</f>
        <v>1</v>
      </c>
      <c r="D31" s="8"/>
      <c r="E31" s="8"/>
    </row>
    <row r="32" customFormat="false" ht="15" hidden="false" customHeight="true" outlineLevel="0" collapsed="false">
      <c r="A32" s="3" t="s">
        <v>888</v>
      </c>
      <c r="B32" s="8"/>
      <c r="C32" s="12" t="n">
        <f aca="false">SUMIF($A$18:$A$28,A32,$C$18:$C$28)</f>
        <v>1</v>
      </c>
      <c r="D32" s="8"/>
      <c r="E32" s="8"/>
    </row>
    <row r="33" customFormat="false" ht="15" hidden="false" customHeight="true" outlineLevel="0" collapsed="false">
      <c r="A33" s="3" t="s">
        <v>895</v>
      </c>
      <c r="B33" s="8"/>
      <c r="C33" s="12" t="n">
        <f aca="false">SUMIF($A$18:$A$28,A33,$C$18:$C$28)</f>
        <v>1</v>
      </c>
      <c r="D33" s="8"/>
      <c r="E3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2026-10-02T21:44:04Z</dcterms:created>
  <dc:creator>openpyxl</dc:creator>
  <dc:description/>
  <dc:language>en-US</dc:language>
  <cp:lastModifiedBy/>
  <dcterms:modified xsi:type="dcterms:W3CDTF">2026-10-19T07:58:06Z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